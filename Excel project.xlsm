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cd3c3ec398e65c73/Documents/"/>
    </mc:Choice>
  </mc:AlternateContent>
  <xr:revisionPtr revIDLastSave="0" documentId="8_{EC5CC166-B261-4AB9-BFD7-98E3359AA438}" xr6:coauthVersionLast="47" xr6:coauthVersionMax="47" xr10:uidLastSave="{00000000-0000-0000-0000-000000000000}"/>
  <bookViews>
    <workbookView xWindow="-120" yWindow="-120" windowWidth="20730" windowHeight="11040" firstSheet="6" activeTab="10" xr2:uid="{0437B27E-4C5C-4855-984A-5FCFCFFE7ACC}"/>
  </bookViews>
  <sheets>
    <sheet name="Basics of excel" sheetId="1" r:id="rId1"/>
    <sheet name="Transpose" sheetId="2" r:id="rId2"/>
    <sheet name="All Count" sheetId="3" r:id="rId3"/>
    <sheet name="Quick Cal" sheetId="4" r:id="rId4"/>
    <sheet name="Percentage,Power" sheetId="5" r:id="rId5"/>
    <sheet name="Format Cells" sheetId="6" r:id="rId6"/>
    <sheet name="Format Numbers" sheetId="8" r:id="rId7"/>
    <sheet name="Wrap text AND Alignment" sheetId="7" r:id="rId8"/>
    <sheet name="Section3" sheetId="9" r:id="rId9"/>
    <sheet name="Section4" sheetId="12" r:id="rId10"/>
    <sheet name="Section5" sheetId="13" r:id="rId11"/>
    <sheet name="Section6" sheetId="14" r:id="rId12"/>
    <sheet name="Section7" sheetId="15" r:id="rId13"/>
    <sheet name="Pivot Sec7" sheetId="16" r:id="rId14"/>
    <sheet name="Pivot2 Sec7" sheetId="17" r:id="rId15"/>
    <sheet name="Section8" sheetId="18" r:id="rId16"/>
    <sheet name="Section 9" sheetId="19" r:id="rId17"/>
    <sheet name="Section10" sheetId="20" r:id="rId18"/>
    <sheet name="Section11-1" sheetId="21" r:id="rId19"/>
    <sheet name="Section11-2" sheetId="22" r:id="rId20"/>
    <sheet name="Section11-3" sheetId="23" r:id="rId21"/>
    <sheet name="Section11-4" sheetId="24" r:id="rId22"/>
    <sheet name="Section11-5" sheetId="25" r:id="rId23"/>
    <sheet name="Section11-6(summary)" sheetId="26" r:id="rId24"/>
    <sheet name="Section12" sheetId="27" r:id="rId25"/>
    <sheet name="Section12(Macro)" sheetId="28" r:id="rId26"/>
    <sheet name="Section12-2" sheetId="33" r:id="rId27"/>
    <sheet name="Section12-3" sheetId="34" r:id="rId28"/>
    <sheet name="Section12-4" sheetId="35" r:id="rId29"/>
    <sheet name="Sheet1" sheetId="37" r:id="rId30"/>
    <sheet name="Section12-5" sheetId="36" r:id="rId31"/>
  </sheets>
  <definedNames>
    <definedName name="_xlnm._FilterDatabase" localSheetId="23" hidden="1">'Section11-6(summary)'!$A$121:$H$136</definedName>
    <definedName name="_xlnm._FilterDatabase" localSheetId="8" hidden="1">Section3!$B$1:$B$11</definedName>
    <definedName name="_xlnm._FilterDatabase" localSheetId="11" hidden="1">Section6!$A$20:$G$35</definedName>
    <definedName name="ProTable">Section8!$I$32:$L$35</definedName>
    <definedName name="Slicer_Product">#N/A</definedName>
    <definedName name="Slicer_Product1">#N/A</definedName>
    <definedName name="Slicer_Product2">#N/A</definedName>
    <definedName name="Slicer_Product3">#N/A</definedName>
    <definedName name="summary">'Section11-4'!$B$4</definedName>
  </definedNames>
  <calcPr calcId="191029"/>
  <pivotCaches>
    <pivotCache cacheId="0" r:id="rId32"/>
    <pivotCache cacheId="1" r:id="rId33"/>
    <pivotCache cacheId="2" r:id="rId34"/>
  </pivotCaches>
  <extLs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2" i="13" l="1"/>
  <c r="E53" i="13"/>
  <c r="E54" i="13"/>
  <c r="E55" i="13"/>
  <c r="E56" i="13"/>
  <c r="E57" i="13"/>
  <c r="E58" i="13"/>
  <c r="E51" i="13"/>
  <c r="F137" i="26"/>
  <c r="F114" i="26"/>
  <c r="F112" i="26"/>
  <c r="F110" i="26"/>
  <c r="F108" i="26"/>
  <c r="F106" i="26"/>
  <c r="F104" i="26"/>
  <c r="F102" i="26"/>
  <c r="F100" i="26"/>
  <c r="F115" i="26" s="1"/>
  <c r="F98" i="26"/>
  <c r="F96" i="26"/>
  <c r="F94" i="26"/>
  <c r="F92" i="26"/>
  <c r="F90" i="26"/>
  <c r="F88" i="26"/>
  <c r="F86" i="26"/>
  <c r="D80" i="26"/>
  <c r="D78" i="26"/>
  <c r="D76" i="26"/>
  <c r="D74" i="26"/>
  <c r="D72" i="26"/>
  <c r="D70" i="26"/>
  <c r="D68" i="26"/>
  <c r="D66" i="26"/>
  <c r="D64" i="26"/>
  <c r="D62" i="26"/>
  <c r="D60" i="26"/>
  <c r="D58" i="26"/>
  <c r="D56" i="26"/>
  <c r="D54" i="26"/>
  <c r="D52" i="26"/>
  <c r="F45" i="26"/>
  <c r="F40" i="26"/>
  <c r="F35" i="26"/>
  <c r="F30" i="26"/>
  <c r="I10" i="22"/>
  <c r="I11" i="22"/>
  <c r="I9" i="22"/>
  <c r="I10" i="23"/>
  <c r="I11" i="23"/>
  <c r="I9" i="23"/>
  <c r="I10" i="21"/>
  <c r="I11" i="21"/>
  <c r="I9" i="21"/>
  <c r="L55" i="19"/>
  <c r="L53" i="19"/>
  <c r="L50" i="19"/>
  <c r="L48" i="19"/>
  <c r="L46" i="19"/>
  <c r="L44" i="19"/>
  <c r="B48" i="19"/>
  <c r="B46" i="19"/>
  <c r="B44" i="19"/>
  <c r="G35" i="19"/>
  <c r="G32" i="19"/>
  <c r="B15" i="19"/>
  <c r="I9" i="19"/>
  <c r="I3" i="19"/>
  <c r="J67" i="18"/>
  <c r="J61" i="18"/>
  <c r="B49" i="18"/>
  <c r="B54" i="18"/>
  <c r="B45" i="18"/>
  <c r="J38" i="18"/>
  <c r="I25" i="18"/>
  <c r="M17" i="18"/>
  <c r="B21" i="18"/>
  <c r="G16" i="18"/>
  <c r="B16" i="18"/>
  <c r="G5" i="18"/>
  <c r="E64" i="17" a="1"/>
  <c r="E64" i="17" s="1"/>
  <c r="K3" i="15"/>
  <c r="K4" i="15"/>
  <c r="K5" i="15"/>
  <c r="K6" i="15"/>
  <c r="K7" i="15"/>
  <c r="K8" i="15"/>
  <c r="K9" i="15"/>
  <c r="K10" i="15"/>
  <c r="K11" i="15"/>
  <c r="K2" i="15"/>
  <c r="J3" i="15"/>
  <c r="J4" i="15"/>
  <c r="J5" i="15"/>
  <c r="J6" i="15"/>
  <c r="J7" i="15"/>
  <c r="J8" i="15"/>
  <c r="J9" i="15"/>
  <c r="J10" i="15"/>
  <c r="J11" i="15"/>
  <c r="J2" i="15"/>
  <c r="I3" i="15"/>
  <c r="I4" i="15"/>
  <c r="I5" i="15"/>
  <c r="I6" i="15"/>
  <c r="I7" i="15"/>
  <c r="I8" i="15"/>
  <c r="I9" i="15"/>
  <c r="I10" i="15"/>
  <c r="I11" i="15"/>
  <c r="I2" i="15"/>
  <c r="H3" i="15"/>
  <c r="H4" i="15"/>
  <c r="H5" i="15"/>
  <c r="H6" i="15"/>
  <c r="H7" i="15"/>
  <c r="H8" i="15"/>
  <c r="H9" i="15"/>
  <c r="H10" i="15"/>
  <c r="H11" i="15"/>
  <c r="H2" i="15"/>
  <c r="G3" i="15"/>
  <c r="G4" i="15"/>
  <c r="G5" i="15"/>
  <c r="G6" i="15"/>
  <c r="G7" i="15"/>
  <c r="G8" i="15"/>
  <c r="G9" i="15"/>
  <c r="G10" i="15"/>
  <c r="G11" i="15"/>
  <c r="G2" i="15"/>
  <c r="F11" i="15"/>
  <c r="F3" i="15"/>
  <c r="F4" i="15"/>
  <c r="F5" i="15"/>
  <c r="F6" i="15"/>
  <c r="F7" i="15"/>
  <c r="F8" i="15"/>
  <c r="F9" i="15"/>
  <c r="F10" i="15"/>
  <c r="F2" i="15"/>
  <c r="C168" i="14"/>
  <c r="C169" i="14"/>
  <c r="C170" i="14"/>
  <c r="C171" i="14"/>
  <c r="C172" i="14"/>
  <c r="C173" i="14"/>
  <c r="C174" i="14"/>
  <c r="C175" i="14"/>
  <c r="C176" i="14"/>
  <c r="C177" i="14"/>
  <c r="C167" i="14"/>
  <c r="I167" i="14"/>
  <c r="I177" i="14"/>
  <c r="I176" i="14"/>
  <c r="I175" i="14"/>
  <c r="I174" i="14"/>
  <c r="I173" i="14"/>
  <c r="I172" i="14"/>
  <c r="I171" i="14"/>
  <c r="I170" i="14"/>
  <c r="I169" i="14"/>
  <c r="I168" i="14"/>
  <c r="D133" i="14"/>
  <c r="D134" i="14"/>
  <c r="D135" i="14"/>
  <c r="D136" i="14"/>
  <c r="D137" i="14"/>
  <c r="D132" i="14"/>
  <c r="K113" i="14"/>
  <c r="K117" i="14"/>
  <c r="K116" i="14"/>
  <c r="K115" i="14"/>
  <c r="K114" i="14"/>
  <c r="E114" i="14"/>
  <c r="E115" i="14"/>
  <c r="E116" i="14"/>
  <c r="E117" i="14"/>
  <c r="E113" i="14"/>
  <c r="B107" i="14"/>
  <c r="B106" i="14"/>
  <c r="C103" i="14"/>
  <c r="F93" i="14"/>
  <c r="F94" i="14"/>
  <c r="F95" i="14"/>
  <c r="F96" i="14"/>
  <c r="F97" i="14"/>
  <c r="F98" i="14"/>
  <c r="F92" i="14"/>
  <c r="P81" i="14"/>
  <c r="O81" i="14"/>
  <c r="H82" i="14"/>
  <c r="H83" i="14"/>
  <c r="H84" i="14"/>
  <c r="H85" i="14"/>
  <c r="H86" i="14"/>
  <c r="H87" i="14"/>
  <c r="H81" i="14"/>
  <c r="G82" i="14"/>
  <c r="G83" i="14"/>
  <c r="G84" i="14"/>
  <c r="G85" i="14"/>
  <c r="G86" i="14"/>
  <c r="G87" i="14"/>
  <c r="G81" i="14"/>
  <c r="N68" i="14"/>
  <c r="N69" i="14"/>
  <c r="N70" i="14"/>
  <c r="N71" i="14"/>
  <c r="N72" i="14"/>
  <c r="N73" i="14"/>
  <c r="N74" i="14"/>
  <c r="M69" i="14"/>
  <c r="M70" i="14"/>
  <c r="M71" i="14"/>
  <c r="M72" i="14"/>
  <c r="M73" i="14"/>
  <c r="M74" i="14"/>
  <c r="M68" i="14"/>
  <c r="P59" i="14"/>
  <c r="P60" i="14"/>
  <c r="P61" i="14"/>
  <c r="P62" i="14"/>
  <c r="P58" i="14"/>
  <c r="O59" i="14"/>
  <c r="O60" i="14"/>
  <c r="O61" i="14"/>
  <c r="O62" i="14"/>
  <c r="O58" i="14"/>
  <c r="N59" i="14"/>
  <c r="N60" i="14"/>
  <c r="N61" i="14"/>
  <c r="N62" i="14"/>
  <c r="N58" i="14"/>
  <c r="M59" i="14"/>
  <c r="M60" i="14"/>
  <c r="M61" i="14"/>
  <c r="M62" i="14"/>
  <c r="M58" i="14"/>
  <c r="L59" i="14"/>
  <c r="L60" i="14"/>
  <c r="L61" i="14"/>
  <c r="L62" i="14"/>
  <c r="L58" i="14"/>
  <c r="F61" i="14"/>
  <c r="F62" i="14"/>
  <c r="F63" i="14"/>
  <c r="F64" i="14"/>
  <c r="F65" i="14"/>
  <c r="F66" i="14"/>
  <c r="F67" i="14"/>
  <c r="F68" i="14"/>
  <c r="F69" i="14"/>
  <c r="F70" i="14"/>
  <c r="F71" i="14"/>
  <c r="F72" i="14"/>
  <c r="F73" i="14"/>
  <c r="F74" i="14"/>
  <c r="F75" i="14"/>
  <c r="F60" i="14"/>
  <c r="E60" i="14" a="1"/>
  <c r="E60" i="14" s="1"/>
  <c r="D61" i="14"/>
  <c r="D62" i="14"/>
  <c r="D63" i="14"/>
  <c r="D64" i="14"/>
  <c r="D65" i="14"/>
  <c r="D66" i="14"/>
  <c r="D67" i="14"/>
  <c r="D68" i="14"/>
  <c r="D69" i="14"/>
  <c r="D70" i="14"/>
  <c r="D71" i="14"/>
  <c r="D72" i="14"/>
  <c r="D73" i="14"/>
  <c r="D74" i="14"/>
  <c r="D75" i="14"/>
  <c r="D60" i="14"/>
  <c r="C61" i="14"/>
  <c r="C62" i="14"/>
  <c r="C63" i="14"/>
  <c r="C64" i="14"/>
  <c r="C65" i="14"/>
  <c r="C66" i="14"/>
  <c r="C67" i="14"/>
  <c r="C68" i="14"/>
  <c r="C69" i="14"/>
  <c r="C70" i="14"/>
  <c r="C71" i="14"/>
  <c r="C72" i="14"/>
  <c r="C73" i="14"/>
  <c r="C74" i="14"/>
  <c r="C75" i="14"/>
  <c r="C60" i="14"/>
  <c r="F42" i="14"/>
  <c r="F43" i="14"/>
  <c r="F44" i="14"/>
  <c r="F45" i="14"/>
  <c r="F46" i="14"/>
  <c r="F47" i="14"/>
  <c r="F48" i="14"/>
  <c r="F49" i="14"/>
  <c r="F50" i="14"/>
  <c r="F51" i="14"/>
  <c r="F52" i="14"/>
  <c r="F53" i="14"/>
  <c r="F54" i="14"/>
  <c r="F55" i="14"/>
  <c r="F41" i="14"/>
  <c r="E55" i="14"/>
  <c r="E42" i="14"/>
  <c r="E43" i="14"/>
  <c r="E44" i="14"/>
  <c r="E45" i="14"/>
  <c r="E46" i="14"/>
  <c r="E47" i="14"/>
  <c r="E48" i="14"/>
  <c r="E49" i="14"/>
  <c r="E50" i="14"/>
  <c r="E51" i="14"/>
  <c r="E52" i="14"/>
  <c r="E53" i="14"/>
  <c r="E54" i="14"/>
  <c r="E41" i="14"/>
  <c r="F35" i="14"/>
  <c r="G35" i="14" s="1"/>
  <c r="F22" i="14"/>
  <c r="G22" i="14" s="1"/>
  <c r="F23" i="14"/>
  <c r="G23" i="14" s="1"/>
  <c r="F24" i="14"/>
  <c r="G24" i="14" s="1"/>
  <c r="F25" i="14"/>
  <c r="G25" i="14" s="1"/>
  <c r="F26" i="14"/>
  <c r="G26" i="14" s="1"/>
  <c r="F27" i="14"/>
  <c r="G27" i="14" s="1"/>
  <c r="F28" i="14"/>
  <c r="G28" i="14" s="1"/>
  <c r="F29" i="14"/>
  <c r="G29" i="14" s="1"/>
  <c r="F30" i="14"/>
  <c r="G30" i="14" s="1"/>
  <c r="F31" i="14"/>
  <c r="G31" i="14" s="1"/>
  <c r="F32" i="14"/>
  <c r="G32" i="14" s="1"/>
  <c r="F33" i="14"/>
  <c r="G33" i="14" s="1"/>
  <c r="F34" i="14"/>
  <c r="G34" i="14" s="1"/>
  <c r="F21" i="14"/>
  <c r="G21" i="14" s="1"/>
  <c r="H39" i="13"/>
  <c r="H40" i="13"/>
  <c r="H41" i="13"/>
  <c r="H42" i="13"/>
  <c r="H43" i="13"/>
  <c r="H44" i="13"/>
  <c r="H45" i="13"/>
  <c r="H38" i="13"/>
  <c r="G39" i="13"/>
  <c r="G40" i="13"/>
  <c r="G41" i="13"/>
  <c r="G42" i="13"/>
  <c r="G43" i="13"/>
  <c r="G44" i="13"/>
  <c r="G45" i="13"/>
  <c r="G38" i="13"/>
  <c r="F39" i="13"/>
  <c r="F40" i="13"/>
  <c r="F41" i="13"/>
  <c r="F42" i="13"/>
  <c r="F43" i="13"/>
  <c r="F44" i="13"/>
  <c r="F45" i="13"/>
  <c r="F38" i="13"/>
  <c r="E45" i="13"/>
  <c r="E39" i="13"/>
  <c r="E40" i="13"/>
  <c r="E41" i="13"/>
  <c r="E42" i="13"/>
  <c r="E43" i="13"/>
  <c r="E44" i="13"/>
  <c r="E38" i="13"/>
  <c r="N27" i="13"/>
  <c r="N28" i="13"/>
  <c r="N29" i="13"/>
  <c r="N30" i="13"/>
  <c r="N31" i="13"/>
  <c r="N32" i="13"/>
  <c r="N33" i="13"/>
  <c r="N26" i="13"/>
  <c r="E26" i="13"/>
  <c r="E27" i="13"/>
  <c r="E28" i="13"/>
  <c r="E29" i="13"/>
  <c r="E30" i="13"/>
  <c r="E31" i="13"/>
  <c r="E32" i="13"/>
  <c r="E33" i="13"/>
  <c r="L15" i="13"/>
  <c r="L16" i="13"/>
  <c r="L17" i="13"/>
  <c r="L18" i="13"/>
  <c r="L19" i="13"/>
  <c r="L20" i="13"/>
  <c r="L21" i="13"/>
  <c r="L14" i="13"/>
  <c r="E14" i="13"/>
  <c r="E15" i="13"/>
  <c r="E16" i="13"/>
  <c r="E17" i="13"/>
  <c r="E18" i="13"/>
  <c r="E19" i="13"/>
  <c r="E20" i="13"/>
  <c r="E21" i="13"/>
  <c r="E3" i="13"/>
  <c r="E4" i="13"/>
  <c r="E5" i="13"/>
  <c r="E6" i="13"/>
  <c r="E7" i="13"/>
  <c r="E8" i="13"/>
  <c r="E9" i="13"/>
  <c r="E2" i="13"/>
  <c r="A34" i="12"/>
  <c r="A32" i="12"/>
  <c r="A31" i="12"/>
  <c r="A30" i="12"/>
  <c r="A29" i="12"/>
  <c r="H25" i="12"/>
  <c r="I20" i="12"/>
  <c r="N22" i="12"/>
  <c r="N21" i="12"/>
  <c r="N20" i="12"/>
  <c r="A23" i="12"/>
  <c r="B15" i="12"/>
  <c r="A20" i="12"/>
  <c r="M15" i="12"/>
  <c r="M14" i="12"/>
  <c r="M13" i="12"/>
  <c r="M12" i="12"/>
  <c r="M11" i="12"/>
  <c r="F12" i="12"/>
  <c r="F13" i="12"/>
  <c r="F11" i="12"/>
  <c r="E12" i="12"/>
  <c r="E13" i="12"/>
  <c r="E11" i="12"/>
  <c r="D12" i="12"/>
  <c r="D13" i="12"/>
  <c r="D11" i="12"/>
  <c r="E3" i="12"/>
  <c r="E4" i="12"/>
  <c r="E5" i="12"/>
  <c r="E6" i="12"/>
  <c r="E2" i="12"/>
  <c r="H3" i="8"/>
  <c r="H4" i="8"/>
  <c r="H5" i="8"/>
  <c r="H6" i="8"/>
  <c r="H2" i="8"/>
  <c r="F22" i="5"/>
  <c r="C4" i="5"/>
  <c r="C5" i="5"/>
  <c r="C6" i="5"/>
  <c r="C3" i="5"/>
  <c r="L3" i="4"/>
  <c r="H3" i="4"/>
  <c r="E3" i="4"/>
  <c r="I4" i="3"/>
  <c r="L4" i="3"/>
  <c r="E4" i="3"/>
  <c r="H38" i="2" a="1"/>
  <c r="H38" i="2" s="1"/>
  <c r="D8" i="2" a="1"/>
  <c r="D8" i="2" s="1"/>
  <c r="M7" i="1"/>
  <c r="M4" i="1"/>
  <c r="M3" i="1"/>
  <c r="K4" i="1"/>
  <c r="K3" i="1"/>
  <c r="I4" i="1"/>
  <c r="I3" i="1"/>
  <c r="G4" i="1"/>
  <c r="G3" i="1"/>
  <c r="D3" i="1"/>
  <c r="F46" i="26" l="1"/>
  <c r="D81" i="2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<sst xmlns="http://schemas.openxmlformats.org/spreadsheetml/2006/main" count="3521" uniqueCount="1187">
  <si>
    <t>Month</t>
  </si>
  <si>
    <t>Sales (₹)</t>
  </si>
  <si>
    <t>January</t>
  </si>
  <si>
    <t>February</t>
  </si>
  <si>
    <t>March</t>
  </si>
  <si>
    <t>April</t>
  </si>
  <si>
    <t>May</t>
  </si>
  <si>
    <t>June</t>
  </si>
  <si>
    <t>July</t>
  </si>
  <si>
    <t>August</t>
  </si>
  <si>
    <t>September</t>
  </si>
  <si>
    <t>October</t>
  </si>
  <si>
    <t>November</t>
  </si>
  <si>
    <t>December</t>
  </si>
  <si>
    <t>SUM</t>
  </si>
  <si>
    <t>MAX function</t>
  </si>
  <si>
    <t>MIN function</t>
  </si>
  <si>
    <t>SMALL function</t>
  </si>
  <si>
    <t>LARGE function</t>
  </si>
  <si>
    <t>MEDIAN</t>
  </si>
  <si>
    <t>Sales</t>
  </si>
  <si>
    <t>Comparison  Between Manually Transpose &amp; Transpose Function</t>
  </si>
  <si>
    <t>Transpose Function</t>
  </si>
  <si>
    <t>Manual transpose</t>
  </si>
  <si>
    <t>Static: It pastes values only</t>
  </si>
  <si>
    <t>Doesn’t update if the original data changes.</t>
  </si>
  <si>
    <t>Formatting is preserved (unless removed manually).</t>
  </si>
  <si>
    <t>Dynamic: Automatically updates if source data changes.</t>
  </si>
  <si>
    <t>Formula-based.</t>
  </si>
  <si>
    <r>
      <t xml:space="preserve">Does </t>
    </r>
    <r>
      <rPr>
        <b/>
        <sz val="11"/>
        <color theme="1"/>
        <rFont val="Aptos Narrow"/>
        <family val="2"/>
        <scheme val="minor"/>
      </rPr>
      <t>not</t>
    </r>
    <r>
      <rPr>
        <sz val="11"/>
        <color theme="1"/>
        <rFont val="Aptos Narrow"/>
        <family val="2"/>
        <scheme val="minor"/>
      </rPr>
      <t xml:space="preserve"> preserve formatting (purely data/formula output)</t>
    </r>
  </si>
  <si>
    <t>TRANSPOSE Function Over Manual Transposing</t>
  </si>
  <si>
    <t>Updates automatically</t>
  </si>
  <si>
    <t>Prevent data mismatches</t>
  </si>
  <si>
    <t>Reduces manual work</t>
  </si>
  <si>
    <t>Supports automation</t>
  </si>
  <si>
    <t>Easy integration with formulas</t>
  </si>
  <si>
    <t>Dynamic range that updates the transposed values automatically when the original data changes</t>
  </si>
  <si>
    <t>Months</t>
  </si>
  <si>
    <r>
      <t>Sales</t>
    </r>
    <r>
      <rPr>
        <b/>
        <sz val="11"/>
        <color theme="1"/>
        <rFont val="Aptos Narrow"/>
        <family val="2"/>
        <scheme val="minor"/>
      </rPr>
      <t>Sales</t>
    </r>
  </si>
  <si>
    <t>Week</t>
  </si>
  <si>
    <t>Direct</t>
  </si>
  <si>
    <t>Organic</t>
  </si>
  <si>
    <t>Social</t>
  </si>
  <si>
    <t>Referral</t>
  </si>
  <si>
    <t>Week 1</t>
  </si>
  <si>
    <t>Week 2</t>
  </si>
  <si>
    <t>Week 3</t>
  </si>
  <si>
    <t>Week 4</t>
  </si>
  <si>
    <t>Week 5</t>
  </si>
  <si>
    <t>Product Name</t>
  </si>
  <si>
    <t>Smartwatch</t>
  </si>
  <si>
    <t>Wireless Charger</t>
  </si>
  <si>
    <t>Bluetooth Speaker</t>
  </si>
  <si>
    <t>Laptop Stand</t>
  </si>
  <si>
    <t>Webcam</t>
  </si>
  <si>
    <t>LED Desk Lamp</t>
  </si>
  <si>
    <t>USB Hub</t>
  </si>
  <si>
    <t>Noise Cancelling Headphones</t>
  </si>
  <si>
    <t>Keyboard</t>
  </si>
  <si>
    <t>Mouse Pad</t>
  </si>
  <si>
    <t xml:space="preserve"> </t>
  </si>
  <si>
    <t>COUNT Function</t>
  </si>
  <si>
    <t>COUNTA Function</t>
  </si>
  <si>
    <t>COUNTBLANK Function</t>
  </si>
  <si>
    <t xml:space="preserve"> COUNT:Counts numeric values only</t>
  </si>
  <si>
    <t>COUNTA:Counts all non-blank cells (numbers, text, formulas)</t>
  </si>
  <si>
    <t>COUNTBLANK:Counts blank cells only</t>
  </si>
  <si>
    <t>Laptop</t>
  </si>
  <si>
    <t>Mouse</t>
  </si>
  <si>
    <t>Monitor</t>
  </si>
  <si>
    <t>USB Cable</t>
  </si>
  <si>
    <t>Headphones</t>
  </si>
  <si>
    <t>Price</t>
  </si>
  <si>
    <t>SUM Function</t>
  </si>
  <si>
    <t>AVERAGE Function</t>
  </si>
  <si>
    <r>
      <t>Functions</t>
    </r>
    <r>
      <rPr>
        <sz val="11"/>
        <color theme="1"/>
        <rFont val="Aptos Narrow"/>
        <family val="2"/>
        <scheme val="minor"/>
      </rPr>
      <t xml:space="preserve"> are more </t>
    </r>
    <r>
      <rPr>
        <b/>
        <sz val="11"/>
        <color theme="1"/>
        <rFont val="Aptos Narrow"/>
        <family val="2"/>
        <scheme val="minor"/>
      </rPr>
      <t>flexible</t>
    </r>
    <r>
      <rPr>
        <sz val="11"/>
        <color theme="1"/>
        <rFont val="Aptos Narrow"/>
        <family val="2"/>
        <scheme val="minor"/>
      </rPr>
      <t xml:space="preserve"> for formulas, dashboards, and automation.</t>
    </r>
  </si>
  <si>
    <r>
      <t xml:space="preserve">Both give </t>
    </r>
    <r>
      <rPr>
        <b/>
        <sz val="11"/>
        <color theme="1"/>
        <rFont val="Aptos Narrow"/>
        <family val="2"/>
        <scheme val="minor"/>
      </rPr>
      <t>identical results</t>
    </r>
    <r>
      <rPr>
        <sz val="11"/>
        <color theme="1"/>
        <rFont val="Aptos Narrow"/>
        <family val="2"/>
        <scheme val="minor"/>
      </rPr>
      <t xml:space="preserve">, but functions offer </t>
    </r>
    <r>
      <rPr>
        <b/>
        <sz val="11"/>
        <color theme="1"/>
        <rFont val="Aptos Narrow"/>
        <family val="2"/>
        <scheme val="minor"/>
      </rPr>
      <t>customization and persistence</t>
    </r>
    <r>
      <rPr>
        <sz val="11"/>
        <color theme="1"/>
        <rFont val="Aptos Narrow"/>
        <family val="2"/>
        <scheme val="minor"/>
      </rPr>
      <t>.</t>
    </r>
  </si>
  <si>
    <r>
      <t>Quick Analysis</t>
    </r>
    <r>
      <rPr>
        <sz val="11"/>
        <color theme="1"/>
        <rFont val="Aptos Narrow"/>
        <family val="2"/>
        <scheme val="minor"/>
      </rPr>
      <t xml:space="preserve"> is a fast visual tool for immediate results.</t>
    </r>
  </si>
  <si>
    <t>Instant Results Without Formulas</t>
  </si>
  <si>
    <t>Useful for Quick Data Checks &amp; Validation</t>
  </si>
  <si>
    <t>Zero Learning Curve</t>
  </si>
  <si>
    <t>Customizable View</t>
  </si>
  <si>
    <t>Beginner-friendly</t>
  </si>
  <si>
    <t>Dynamic updates</t>
  </si>
  <si>
    <t>Saves time</t>
  </si>
  <si>
    <t>Benefits Of Using Status Bar</t>
  </si>
  <si>
    <t>Year</t>
  </si>
  <si>
    <t>Revenue</t>
  </si>
  <si>
    <t xml:space="preserve">Growth%=Current Year Revenue - Previous Year Revenue </t>
  </si>
  <si>
    <t>Previous Year Revenue</t>
  </si>
  <si>
    <t>* 100</t>
  </si>
  <si>
    <t>2021-</t>
  </si>
  <si>
    <t>150-125/125*100</t>
  </si>
  <si>
    <t>2022-</t>
  </si>
  <si>
    <t>2023-</t>
  </si>
  <si>
    <t>180-150/150*100</t>
  </si>
  <si>
    <t>210-180/180*100</t>
  </si>
  <si>
    <t>2024-</t>
  </si>
  <si>
    <t>250-21-/210*100</t>
  </si>
  <si>
    <t>Manually done</t>
  </si>
  <si>
    <t>Using Formula</t>
  </si>
  <si>
    <t> POWER formula to calculate the compound annual growth rate (CAGR)</t>
  </si>
  <si>
    <t>Manual Growth Percentage</t>
  </si>
  <si>
    <t>POWER  Formula</t>
  </si>
  <si>
    <t>COMPARISON</t>
  </si>
  <si>
    <t>Measures the percentage growth from one year to the next</t>
  </si>
  <si>
    <t>Measures the average annual growth over multiple years</t>
  </si>
  <si>
    <t>Short-term performance year by year</t>
  </si>
  <si>
    <t>Long-term, compounded performance</t>
  </si>
  <si>
    <t>Smooths variations into a single</t>
  </si>
  <si>
    <t>Analyzing annual performance</t>
  </si>
  <si>
    <t>Investment return, business growth trends over time</t>
  </si>
  <si>
    <t>Requires revenue for each year</t>
  </si>
  <si>
    <t>Only beginning and ending values, and number of years</t>
  </si>
  <si>
    <t>Hows fluctuations between individual years</t>
  </si>
  <si>
    <t>Significance of Growth Percentage</t>
  </si>
  <si>
    <t>Identifies how well a company/product is doing each year or quarter.</t>
  </si>
  <si>
    <t>A sudden drop in growth can indicate issues in sales, operations, or the market.</t>
  </si>
  <si>
    <t>Helps compare performance between years, products, teams, or competitors.</t>
  </si>
  <si>
    <t>Can help determine where to invest more resources or where to cut back.</t>
  </si>
  <si>
    <t>Significance of CAGR (Compound Annual Growth Rate)</t>
  </si>
  <si>
    <t>Shows consistent annual growth, even if individual years fluctuate.</t>
  </si>
  <si>
    <t>Commonly used by investors to evaluate return on investment (ROI).</t>
  </si>
  <si>
    <t>Helps compare business units, markets, or time periods fairly.</t>
  </si>
  <si>
    <t>Provides a realistic growth rate for future projections and budgeting</t>
  </si>
  <si>
    <t>Comparison in Business Use</t>
  </si>
  <si>
    <t>Growth % (YoY):</t>
  </si>
  <si>
    <t>CAGR:</t>
  </si>
  <si>
    <t>Short-term monitoring, spotting trends</t>
  </si>
  <si>
    <t>Long-term strategy, investment analysis</t>
  </si>
  <si>
    <t>Units Sold</t>
  </si>
  <si>
    <t xml:space="preserve">Sales Revenue </t>
  </si>
  <si>
    <t>Sales data cells to have a currency format</t>
  </si>
  <si>
    <t>Sales Revenue</t>
  </si>
  <si>
    <t>Highlight sales figures greater than a specified amount</t>
  </si>
  <si>
    <t>Greater than 100000</t>
  </si>
  <si>
    <t>Different font styles and sizes for the header row</t>
  </si>
  <si>
    <t>Product Names</t>
  </si>
  <si>
    <t>Products Names</t>
  </si>
  <si>
    <t> Add borders to the table to improve readability</t>
  </si>
  <si>
    <t>Change the background color of the cells based on the sales performance</t>
  </si>
  <si>
    <t>Power Bank</t>
  </si>
  <si>
    <t>Gaming Mouse</t>
  </si>
  <si>
    <t>Wireless Earbuds</t>
  </si>
  <si>
    <t>NUMBERS</t>
  </si>
  <si>
    <t>NUMBERS into PERCENTAGE</t>
  </si>
  <si>
    <t>Figures</t>
  </si>
  <si>
    <t>In</t>
  </si>
  <si>
    <t>Thousands</t>
  </si>
  <si>
    <t>Format negative numbers to appear in red</t>
  </si>
  <si>
    <t>Numbers</t>
  </si>
  <si>
    <t>Number formatting to show a fixed number of decimal places</t>
  </si>
  <si>
    <t> Experiment with scientific number formatting</t>
  </si>
  <si>
    <t>Smartwatch:A wearable device with fitness tracking, heart rate monitoring, and notification</t>
  </si>
  <si>
    <t>WRAP</t>
  </si>
  <si>
    <t>TEXT</t>
  </si>
  <si>
    <t>FEATURE</t>
  </si>
  <si>
    <t>Align text to the center of the cells</t>
  </si>
  <si>
    <t>Apple</t>
  </si>
  <si>
    <t>Mango</t>
  </si>
  <si>
    <t>Cherry</t>
  </si>
  <si>
    <t>Banana</t>
  </si>
  <si>
    <t>Pear</t>
  </si>
  <si>
    <t>Grapes</t>
  </si>
  <si>
    <t>Papaya</t>
  </si>
  <si>
    <t>MERGE and CENTER</t>
  </si>
  <si>
    <t>Products</t>
  </si>
  <si>
    <t>Type</t>
  </si>
  <si>
    <t>Quantity</t>
  </si>
  <si>
    <t xml:space="preserve">Quantity </t>
  </si>
  <si>
    <t>Adjust the row height and column width for better text display</t>
  </si>
  <si>
    <t>Text rotation to the headers for a better presentation</t>
  </si>
  <si>
    <t>ALL</t>
  </si>
  <si>
    <t>ABOUT</t>
  </si>
  <si>
    <t>FORMAT</t>
  </si>
  <si>
    <t>PAINTER</t>
  </si>
  <si>
    <t>Excel Workbook</t>
  </si>
  <si>
    <t>Heat</t>
  </si>
  <si>
    <t>Power</t>
  </si>
  <si>
    <t>Format</t>
  </si>
  <si>
    <t>Experiment with copying formatting from one worksheet to another.</t>
  </si>
  <si>
    <t>Done On sheet Format cells On</t>
  </si>
  <si>
    <t>Where names likes laptop etc</t>
  </si>
  <si>
    <t> Apply Format Painter to a range of cells</t>
  </si>
  <si>
    <t>Innovative</t>
  </si>
  <si>
    <t>Secure</t>
  </si>
  <si>
    <t>Safety</t>
  </si>
  <si>
    <t>Trust</t>
  </si>
  <si>
    <t>Rules</t>
  </si>
  <si>
    <t>Powerful</t>
  </si>
  <si>
    <t>Elegant</t>
  </si>
  <si>
    <t>Advantages of using Format Painter in Excel</t>
  </si>
  <si>
    <t>Saves Time</t>
  </si>
  <si>
    <t>Easy To Use</t>
  </si>
  <si>
    <t>Reduces Human Error</t>
  </si>
  <si>
    <t>Ensures Consistency</t>
  </si>
  <si>
    <t>Copies Complex Styles Easily</t>
  </si>
  <si>
    <t>Works Across Worksheets</t>
  </si>
  <si>
    <t>Supports Multiple Uses</t>
  </si>
  <si>
    <t>Sale_ID</t>
  </si>
  <si>
    <t>Sale_Date</t>
  </si>
  <si>
    <t>Customer_Name</t>
  </si>
  <si>
    <t>Product</t>
  </si>
  <si>
    <t>Unit_Price</t>
  </si>
  <si>
    <t>Total_Amount</t>
  </si>
  <si>
    <t>Aditi Mehra</t>
  </si>
  <si>
    <t>Ravi Kumar</t>
  </si>
  <si>
    <t>Sneha Kapoor</t>
  </si>
  <si>
    <t>Smartphone</t>
  </si>
  <si>
    <t>Arjun Singh</t>
  </si>
  <si>
    <t>Neha Agarwal</t>
  </si>
  <si>
    <t>Karan Joshi</t>
  </si>
  <si>
    <t>Tablet</t>
  </si>
  <si>
    <t>Priya Verma</t>
  </si>
  <si>
    <t>Aman Tiwari</t>
  </si>
  <si>
    <t>Tanya Sharma</t>
  </si>
  <si>
    <t>Raj Malhotra</t>
  </si>
  <si>
    <t xml:space="preserve"> Smartphone</t>
  </si>
  <si>
    <t>Date in ascending order</t>
  </si>
  <si>
    <t>Date in descending order</t>
  </si>
  <si>
    <t>Sr.no</t>
  </si>
  <si>
    <t>Amounts in ascending order</t>
  </si>
  <si>
    <t>Amounts in descending order</t>
  </si>
  <si>
    <t>Wireless Mouse</t>
  </si>
  <si>
    <t>Gaming Keyboard</t>
  </si>
  <si>
    <t>Printer</t>
  </si>
  <si>
    <t>A to Z</t>
  </si>
  <si>
    <t>Stylus Pen</t>
  </si>
  <si>
    <t>Eardopes</t>
  </si>
  <si>
    <t>Mobile Phones</t>
  </si>
  <si>
    <t>USB Flash drive</t>
  </si>
  <si>
    <t>Router</t>
  </si>
  <si>
    <t>Bluetooth device</t>
  </si>
  <si>
    <t>Z to A</t>
  </si>
  <si>
    <t>Enhances Readability &amp; Interpretation</t>
  </si>
  <si>
    <t>Helps in Identifying Trends and Outliers</t>
  </si>
  <si>
    <t>Improves Accuracy in Functions</t>
  </si>
  <si>
    <t>Supports Better Filtering and Grouping</t>
  </si>
  <si>
    <t>Aids in Report Generation</t>
  </si>
  <si>
    <t>Impact of sorting on data analysis</t>
  </si>
  <si>
    <t>Combine sorting by product name and sales amount</t>
  </si>
  <si>
    <t>Sorting by Cell Colour</t>
  </si>
  <si>
    <r>
      <t>High Sales</t>
    </r>
    <r>
      <rPr>
        <sz val="11"/>
        <color theme="1"/>
        <rFont val="Aptos Narrow"/>
        <family val="2"/>
        <scheme val="minor"/>
      </rPr>
      <t xml:space="preserve"> (₹50,000 and above)</t>
    </r>
  </si>
  <si>
    <r>
      <t>Mid Sales</t>
    </r>
    <r>
      <rPr>
        <sz val="11"/>
        <color theme="1"/>
        <rFont val="Aptos Narrow"/>
        <family val="2"/>
        <scheme val="minor"/>
      </rPr>
      <t xml:space="preserve"> (₹10,000 to ₹49,999)</t>
    </r>
  </si>
  <si>
    <r>
      <t>Low Sales</t>
    </r>
    <r>
      <rPr>
        <sz val="11"/>
        <color theme="1"/>
        <rFont val="Aptos Narrow"/>
        <family val="2"/>
        <scheme val="minor"/>
      </rPr>
      <t xml:space="preserve"> (below ₹10,000)</t>
    </r>
  </si>
  <si>
    <t>Analyze the sorted data to identify trends</t>
  </si>
  <si>
    <t>Use conditional formatting to apply colors and then sort.</t>
  </si>
  <si>
    <t>Explain how sorting by color can enhance data visualization</t>
  </si>
  <si>
    <t>Instantly Highlights Key Data Segments</t>
  </si>
  <si>
    <t>Makes Outliers and Exceptions Easy to Spot</t>
  </si>
  <si>
    <t>Supports Priority-Based Decision-Making</t>
  </si>
  <si>
    <t>Simplifies Pattern Detection</t>
  </si>
  <si>
    <t>Enhances Dashboard Presentation</t>
  </si>
  <si>
    <t>Date</t>
  </si>
  <si>
    <t>Total_Sales</t>
  </si>
  <si>
    <t>Region</t>
  </si>
  <si>
    <t>Sales_Rep</t>
  </si>
  <si>
    <t>North</t>
  </si>
  <si>
    <t>East</t>
  </si>
  <si>
    <t>West</t>
  </si>
  <si>
    <t>South</t>
  </si>
  <si>
    <t>Perform a primary sort by sales and a secondary sort by date</t>
  </si>
  <si>
    <t>New Data Set</t>
  </si>
  <si>
    <t>Use custom sort options for more complex sorting criteria</t>
  </si>
  <si>
    <t> Apply a multi-level sort to organize the data hierarchically</t>
  </si>
  <si>
    <t>Explain the importance of multi-level sorting in data analysis</t>
  </si>
  <si>
    <t>Organizes Data Logically</t>
  </si>
  <si>
    <t>Supports Better Group-Level Analysis</t>
  </si>
  <si>
    <t>Improves Reporting and Presentation</t>
  </si>
  <si>
    <t>Enhances Filtering and Summarization</t>
  </si>
  <si>
    <t>Enables Layered Insights</t>
  </si>
  <si>
    <t>Event_ID</t>
  </si>
  <si>
    <t>Event_Name</t>
  </si>
  <si>
    <t>Start_Timestamp</t>
  </si>
  <si>
    <t>End_Timestamp</t>
  </si>
  <si>
    <t>Duration (Hours)</t>
  </si>
  <si>
    <t>Server Backup</t>
  </si>
  <si>
    <t>Software Update</t>
  </si>
  <si>
    <t>Data Migration</t>
  </si>
  <si>
    <t>Security Scan</t>
  </si>
  <si>
    <t>Client Meeting</t>
  </si>
  <si>
    <t>Calculate the duration between two dates using subtraction</t>
  </si>
  <si>
    <t>Use the DATEDIF function to find the difference in days, months, and years</t>
  </si>
  <si>
    <t>Person</t>
  </si>
  <si>
    <t>Start_Date</t>
  </si>
  <si>
    <t>End_Date</t>
  </si>
  <si>
    <t>Years</t>
  </si>
  <si>
    <t>Days</t>
  </si>
  <si>
    <t>Aditi</t>
  </si>
  <si>
    <t>Ravi</t>
  </si>
  <si>
    <t>Sneha</t>
  </si>
  <si>
    <t>Apply custom date formatting to display dates and times</t>
  </si>
  <si>
    <t>Compare the manual duration calculation with the DATEDIF function results</t>
  </si>
  <si>
    <t>Manual Calculation</t>
  </si>
  <si>
    <t>Manual Days</t>
  </si>
  <si>
    <t>DATEDIF Calculation</t>
  </si>
  <si>
    <r>
      <t xml:space="preserve">Manual calculation for rough durations, </t>
    </r>
    <r>
      <rPr>
        <sz val="10"/>
        <color theme="0"/>
        <rFont val="Arial Unicode MS"/>
      </rPr>
      <t>DATEDIF</t>
    </r>
    <r>
      <rPr>
        <sz val="11"/>
        <color theme="0"/>
        <rFont val="Aptos Narrow"/>
        <family val="2"/>
        <scheme val="minor"/>
      </rPr>
      <t xml:space="preserve"> for full reports like age, service time, etc</t>
    </r>
  </si>
  <si>
    <t>Use the TODAY function to display the current date</t>
  </si>
  <si>
    <t>Apply the DATE function to create a specific date</t>
  </si>
  <si>
    <t>year</t>
  </si>
  <si>
    <t>month</t>
  </si>
  <si>
    <t>day</t>
  </si>
  <si>
    <t>Use the YEAR, MONTH, and DAY functions to extract components from a date</t>
  </si>
  <si>
    <t>Combine date functions to create dynamic date calculations</t>
  </si>
  <si>
    <t>Dynamic birthday date</t>
  </si>
  <si>
    <t> Explain the significance of using date functions in data analysis</t>
  </si>
  <si>
    <t>Track Time-Based Trends</t>
  </si>
  <si>
    <t>Enable Time-Series Forecasting</t>
  </si>
  <si>
    <t>Improve Data Accuracy &amp; Consistency</t>
  </si>
  <si>
    <t>Group Data Effectively</t>
  </si>
  <si>
    <t>Automate and Refresh Reports</t>
  </si>
  <si>
    <t>Customer</t>
  </si>
  <si>
    <t>Sales Amount</t>
  </si>
  <si>
    <t>High/Low</t>
  </si>
  <si>
    <t>Use the IF function to classify sales as "High" or "Low" based on a threshold</t>
  </si>
  <si>
    <t>Apply the AND function to check if sales meet multiple criteria</t>
  </si>
  <si>
    <t>Check criteria</t>
  </si>
  <si>
    <t> Use the OR function to determine if any of the conditions are met</t>
  </si>
  <si>
    <t>Yes/No</t>
  </si>
  <si>
    <t xml:space="preserve">  Combine IF and AND functions for complex logical tests</t>
  </si>
  <si>
    <t>Smartphones</t>
  </si>
  <si>
    <t> Use the IFERROR function to handle errors in formulas</t>
  </si>
  <si>
    <t>Units sold</t>
  </si>
  <si>
    <t>Error</t>
  </si>
  <si>
    <t> Implement logical tests on numerical data</t>
  </si>
  <si>
    <t>IF</t>
  </si>
  <si>
    <t>IF(AND)</t>
  </si>
  <si>
    <t>IF(OR)</t>
  </si>
  <si>
    <t>Nested Logical Test</t>
  </si>
  <si>
    <t> Combine IF, AND, OR, and IFERROR to create a comprehensive logical test for your dataset</t>
  </si>
  <si>
    <t> Use the Remove Duplicates feature to clean up the data</t>
  </si>
  <si>
    <t> Identify and remove error values from the dataset</t>
  </si>
  <si>
    <t>abc</t>
  </si>
  <si>
    <t>OK/Error</t>
  </si>
  <si>
    <t>Helper column</t>
  </si>
  <si>
    <t>Use conditional formatting to highlight duplicate values</t>
  </si>
  <si>
    <t> Verify the data cleanliness after removing duplicates and errors</t>
  </si>
  <si>
    <t>Error/OK</t>
  </si>
  <si>
    <t>Help Col</t>
  </si>
  <si>
    <t>Clean Data</t>
  </si>
  <si>
    <t xml:space="preserve"> Laptops  </t>
  </si>
  <si>
    <t xml:space="preserve">MOUSE  </t>
  </si>
  <si>
    <t xml:space="preserve">Mouse   </t>
  </si>
  <si>
    <t xml:space="preserve">Smartphone  </t>
  </si>
  <si>
    <t>Product Items</t>
  </si>
  <si>
    <t xml:space="preserve">      beat</t>
  </si>
  <si>
    <t>sHeet</t>
  </si>
  <si>
    <t>GaIN</t>
  </si>
  <si>
    <t xml:space="preserve">batch    </t>
  </si>
  <si>
    <t xml:space="preserve">table    </t>
  </si>
  <si>
    <t>CHAIR</t>
  </si>
  <si>
    <t>printer</t>
  </si>
  <si>
    <t xml:space="preserve">clothes    </t>
  </si>
  <si>
    <t xml:space="preserve">   hairband</t>
  </si>
  <si>
    <t xml:space="preserve">    heADphOnEs</t>
  </si>
  <si>
    <t xml:space="preserve"> smartwatch</t>
  </si>
  <si>
    <t xml:space="preserve">Tablet     </t>
  </si>
  <si>
    <t>UPPER</t>
  </si>
  <si>
    <t>LOWER</t>
  </si>
  <si>
    <t>TRIM</t>
  </si>
  <si>
    <t>PROPER</t>
  </si>
  <si>
    <t> Use VALUE, LEN, RIGHT, LEFT, and MID functions for various data cleaning tasks</t>
  </si>
  <si>
    <t>Notes</t>
  </si>
  <si>
    <t>smartphone</t>
  </si>
  <si>
    <t>HeadPhones</t>
  </si>
  <si>
    <t>Smart-Watch</t>
  </si>
  <si>
    <t>Mose</t>
  </si>
  <si>
    <t>LEN</t>
  </si>
  <si>
    <t>VALUE</t>
  </si>
  <si>
    <t>RIGHT</t>
  </si>
  <si>
    <t>LEFT</t>
  </si>
  <si>
    <t>MID</t>
  </si>
  <si>
    <t>HDRT: LAP1234</t>
  </si>
  <si>
    <t>MODE:XYZ7890</t>
  </si>
  <si>
    <t>SKUR:MSR2345</t>
  </si>
  <si>
    <t>CODE:HPO456</t>
  </si>
  <si>
    <t>REFE:SMWU9876</t>
  </si>
  <si>
    <t>Use the SEARCH function to find a substring within a text string</t>
  </si>
  <si>
    <t>Customer ID</t>
  </si>
  <si>
    <t>Full Name</t>
  </si>
  <si>
    <t>Email</t>
  </si>
  <si>
    <t>Product Interest</t>
  </si>
  <si>
    <t>C001</t>
  </si>
  <si>
    <t>Aditi Sharma</t>
  </si>
  <si>
    <t>aditi.sharma@gmail.com</t>
  </si>
  <si>
    <t>C002</t>
  </si>
  <si>
    <t>Rahul Mehra</t>
  </si>
  <si>
    <t>C003</t>
  </si>
  <si>
    <t>C004</t>
  </si>
  <si>
    <t>C005</t>
  </si>
  <si>
    <t>priya_v88@gmail.com</t>
  </si>
  <si>
    <t>C006</t>
  </si>
  <si>
    <t>C007</t>
  </si>
  <si>
    <t>Tanya Mishra</t>
  </si>
  <si>
    <t>SEARCH</t>
  </si>
  <si>
    <t>SEARCH FUNCTION</t>
  </si>
  <si>
    <t>rahul_23@gmail.com</t>
  </si>
  <si>
    <t>sneha.kapoor@gmail.com</t>
  </si>
  <si>
    <t>karanj1990@gmail.com</t>
  </si>
  <si>
    <t>arjun.singh@gmail.com</t>
  </si>
  <si>
    <t>tmishra@gmail.com</t>
  </si>
  <si>
    <t xml:space="preserve">  Apply the FIND function to locate the position of a substring</t>
  </si>
  <si>
    <t>FIND @</t>
  </si>
  <si>
    <t>FIND .</t>
  </si>
  <si>
    <t>Compare the results of SEARCH and FIND functions</t>
  </si>
  <si>
    <t>FIND</t>
  </si>
  <si>
    <t>Search is not case sensitive</t>
  </si>
  <si>
    <t>Find is case sensitive</t>
  </si>
  <si>
    <t xml:space="preserve">  Combine SEARCH and MID functions to extract a substring</t>
  </si>
  <si>
    <t>SEARCH/MID</t>
  </si>
  <si>
    <t>Explain the differences and use cases for SEARCH vs FIND</t>
  </si>
  <si>
    <t>SEARCH:</t>
  </si>
  <si>
    <t>FIND:</t>
  </si>
  <si>
    <r>
      <t>Returns the position of a substring within a text string, but is case sensitive. It does not</t>
    </r>
    <r>
      <rPr>
        <b/>
        <sz val="11"/>
        <color theme="1"/>
        <rFont val="Aptos Narrow"/>
        <family val="2"/>
        <scheme val="minor"/>
      </rPr>
      <t xml:space="preserve"> </t>
    </r>
    <r>
      <rPr>
        <sz val="11"/>
        <color theme="1"/>
        <rFont val="Aptos Narrow"/>
        <family val="2"/>
        <scheme val="minor"/>
      </rPr>
      <t>support wildcards.</t>
    </r>
  </si>
  <si>
    <r>
      <t xml:space="preserve">Returns the position of a substring within a text string, ignoring case. It also supports wildcard like </t>
    </r>
    <r>
      <rPr>
        <sz val="10"/>
        <color theme="1"/>
        <rFont val="Arial Unicode MS"/>
      </rPr>
      <t>*</t>
    </r>
    <r>
      <rPr>
        <sz val="11"/>
        <color theme="1"/>
        <rFont val="Aptos Narrow"/>
        <family val="2"/>
        <scheme val="minor"/>
      </rPr>
      <t xml:space="preserve"> and </t>
    </r>
    <r>
      <rPr>
        <sz val="10"/>
        <color theme="1"/>
        <rFont val="Arial Unicode MS"/>
      </rPr>
      <t>?</t>
    </r>
  </si>
  <si>
    <t>A = a</t>
  </si>
  <si>
    <t>A&lt;&gt;a</t>
  </si>
  <si>
    <t>A</t>
  </si>
  <si>
    <t>B</t>
  </si>
  <si>
    <t> Use the Go To (Special) technique to select cells with specific attributes (e.g., blanks, constants)</t>
  </si>
  <si>
    <t>N/A</t>
  </si>
  <si>
    <t>BLANK</t>
  </si>
  <si>
    <t>CONSTANT</t>
  </si>
  <si>
    <t>FORMULAS</t>
  </si>
  <si>
    <t>Apply the technique to find and replace blank cells</t>
  </si>
  <si>
    <t>Names</t>
  </si>
  <si>
    <t>Class</t>
  </si>
  <si>
    <t>Age</t>
  </si>
  <si>
    <t>Anil</t>
  </si>
  <si>
    <t>Mohan</t>
  </si>
  <si>
    <t>Rohan</t>
  </si>
  <si>
    <t>Sita</t>
  </si>
  <si>
    <t>3rd</t>
  </si>
  <si>
    <t>2nd</t>
  </si>
  <si>
    <t>5th</t>
  </si>
  <si>
    <t>4th</t>
  </si>
  <si>
    <t xml:space="preserve"> Use Go To (Special) to highlight cells with formulas</t>
  </si>
  <si>
    <t>Mobilephones</t>
  </si>
  <si>
    <t>Total Amount</t>
  </si>
  <si>
    <t>Select cells with conditional formatting using Go To (Special)</t>
  </si>
  <si>
    <t>Explain the benefits of using Go To (Special) for data cleaning</t>
  </si>
  <si>
    <t>Find cells with dropdowns or restricted inputs to review or apply rules.</t>
  </si>
  <si>
    <t>Identify which cells are highlighted based on rules — helps spot outliers or data validation issues.</t>
  </si>
  <si>
    <t>Identify cells with formulas, verify logic, and catch calculation errors or broken references.</t>
  </si>
  <si>
    <t>Useful for copying filtered data without hidden rows— prevents copying errors.</t>
  </si>
  <si>
    <t> Create a dataset with concatenated text values (e.g., "FirstName LastName")</t>
  </si>
  <si>
    <t>FirstName</t>
  </si>
  <si>
    <t>LastName</t>
  </si>
  <si>
    <t>Sharma</t>
  </si>
  <si>
    <t>Rahul</t>
  </si>
  <si>
    <t>Mehra</t>
  </si>
  <si>
    <t>Kapoor</t>
  </si>
  <si>
    <t>Karan</t>
  </si>
  <si>
    <t>Joshi</t>
  </si>
  <si>
    <t>Priya</t>
  </si>
  <si>
    <t>Verma</t>
  </si>
  <si>
    <t>Tanya</t>
  </si>
  <si>
    <t>Mishra</t>
  </si>
  <si>
    <t>Use the Text to Columns feature to split the data into separate columns</t>
  </si>
  <si>
    <t>Shiv Kumar</t>
  </si>
  <si>
    <t>Mohan Singh</t>
  </si>
  <si>
    <t>Ritu Verma</t>
  </si>
  <si>
    <t>Kamal Yadav</t>
  </si>
  <si>
    <t>Last name</t>
  </si>
  <si>
    <t>AditiSharma</t>
  </si>
  <si>
    <t>Shiv</t>
  </si>
  <si>
    <t>Kumar</t>
  </si>
  <si>
    <t>Singh</t>
  </si>
  <si>
    <t>Ritu</t>
  </si>
  <si>
    <t>Kamal</t>
  </si>
  <si>
    <t>Yadav</t>
  </si>
  <si>
    <t>First Name</t>
  </si>
  <si>
    <t>Full name</t>
  </si>
  <si>
    <t xml:space="preserve"> Experiment with different delimiters (e.g., space, comma)</t>
  </si>
  <si>
    <t>First names</t>
  </si>
  <si>
    <t>Last names</t>
  </si>
  <si>
    <t>Full names</t>
  </si>
  <si>
    <t>rahul|Mehra</t>
  </si>
  <si>
    <t>Sneha.kapoor</t>
  </si>
  <si>
    <t>Karan,Kumar</t>
  </si>
  <si>
    <t>Priya-Verma</t>
  </si>
  <si>
    <t>Tanya  Mishra</t>
  </si>
  <si>
    <t xml:space="preserve">  Apply Text to Columns to a larger dataset for practice</t>
  </si>
  <si>
    <t>Explain the advantages of using Text to Columns for data manipulation</t>
  </si>
  <si>
    <t>Splits Combined Data into Separate Fields</t>
  </si>
  <si>
    <t>Great for Email &amp; Code Parsing</t>
  </si>
  <si>
    <t>Supports Bulk Transformation</t>
  </si>
  <si>
    <t>No Complex Formulas Needed</t>
  </si>
  <si>
    <t>Supports Multiple Delimiters</t>
  </si>
  <si>
    <t>Improves Data Analysis</t>
  </si>
  <si>
    <t xml:space="preserve"> Create a dataset with separate first and last names</t>
  </si>
  <si>
    <t>Last Name</t>
  </si>
  <si>
    <t>Arjun</t>
  </si>
  <si>
    <t>Meena</t>
  </si>
  <si>
    <t>Patel</t>
  </si>
  <si>
    <t>Reena</t>
  </si>
  <si>
    <t>Reddy</t>
  </si>
  <si>
    <t>Rohit</t>
  </si>
  <si>
    <t>Use the CONCATENATE function to join first and last names</t>
  </si>
  <si>
    <t>Apply the ampersand (&amp;) operator to achieve the same result</t>
  </si>
  <si>
    <t>Compare the CONCATENATE function and ampersand (&amp;) operator</t>
  </si>
  <si>
    <t>Less flexible for nested formulas</t>
  </si>
  <si>
    <t>May be less readable</t>
  </si>
  <si>
    <t>Available in all Excel versions</t>
  </si>
  <si>
    <t>Concatenate:</t>
  </si>
  <si>
    <t>Ampersand(&amp;)</t>
  </si>
  <si>
    <t>Easier to nest and mix with formulas</t>
  </si>
  <si>
    <t>Very readable and intuitive</t>
  </si>
  <si>
    <t xml:space="preserve"> Explain when to use CONCATENATE vs ampersand (&amp;)</t>
  </si>
  <si>
    <t>When you prefer using a traditional function.</t>
  </si>
  <si>
    <t>Use if your team prefers formula-based logic.</t>
  </si>
  <si>
    <t>More clunky and nested.</t>
  </si>
  <si>
    <t>Not needed — ampersand is simpler and cleaner.</t>
  </si>
  <si>
    <r>
      <t xml:space="preserve">Use </t>
    </r>
    <r>
      <rPr>
        <sz val="10"/>
        <color theme="1"/>
        <rFont val="Arial Unicode MS"/>
      </rPr>
      <t>&amp;</t>
    </r>
    <r>
      <rPr>
        <sz val="11"/>
        <color theme="1"/>
        <rFont val="Aptos Narrow"/>
        <family val="2"/>
        <scheme val="minor"/>
      </rPr>
      <t xml:space="preserve"> if readability is more important.</t>
    </r>
  </si>
  <si>
    <t>Easier to combine static text with cell values.</t>
  </si>
  <si>
    <t xml:space="preserve"> Create a dataset with various instances of specific text (e.g., product codes)</t>
  </si>
  <si>
    <t>Order ID</t>
  </si>
  <si>
    <t>Customer Name</t>
  </si>
  <si>
    <t>Product Code</t>
  </si>
  <si>
    <t>PRD001</t>
  </si>
  <si>
    <t>PRD002</t>
  </si>
  <si>
    <t>PRD003</t>
  </si>
  <si>
    <t>PRD004</t>
  </si>
  <si>
    <t>PRD005</t>
  </si>
  <si>
    <t>Meena Patel</t>
  </si>
  <si>
    <t>Anil Kumar</t>
  </si>
  <si>
    <t>Reena Reddy</t>
  </si>
  <si>
    <t xml:space="preserve">  Use the Find feature to locate all instances of a specific text</t>
  </si>
  <si>
    <t> Apply the Replace feature to change all instances of a specific text</t>
  </si>
  <si>
    <t>LAPTOP001</t>
  </si>
  <si>
    <t>LAPTOP002</t>
  </si>
  <si>
    <t>LAPTOP003</t>
  </si>
  <si>
    <t>LAPTOP004</t>
  </si>
  <si>
    <t>LAPTOP005</t>
  </si>
  <si>
    <t> Experiment with finding and replacing text using wildcards</t>
  </si>
  <si>
    <t>PRD*001</t>
  </si>
  <si>
    <t>PRD*003</t>
  </si>
  <si>
    <t>PRD*005</t>
  </si>
  <si>
    <t>PRD*002</t>
  </si>
  <si>
    <t>PRD*004X</t>
  </si>
  <si>
    <t>PRD*006X</t>
  </si>
  <si>
    <t>Item*</t>
  </si>
  <si>
    <t>Explain the benefits of using Find &amp; Replace for data cleaning</t>
  </si>
  <si>
    <t>Allows you to quickly change hundreds of entries at once instead of editing cells manually.</t>
  </si>
  <si>
    <t>Reduces manual errors by ensuring consistent replacement across the dataset.</t>
  </si>
  <si>
    <t>Replace categories, codes, or labels to match reporting or pivot table requirements.</t>
  </si>
  <si>
    <t>Easily standardizes variations (e.g., replace "Mobile" and "mobile" with "Smartphone").</t>
  </si>
  <si>
    <r>
      <t xml:space="preserve">Lets you clean patterns of text using </t>
    </r>
    <r>
      <rPr>
        <sz val="10"/>
        <color theme="1"/>
        <rFont val="Arial Unicode MS"/>
      </rPr>
      <t>*</t>
    </r>
    <r>
      <rPr>
        <sz val="11"/>
        <color theme="1"/>
        <rFont val="Aptos Narrow"/>
        <family val="2"/>
        <scheme val="minor"/>
      </rPr>
      <t xml:space="preserve"> or </t>
    </r>
    <r>
      <rPr>
        <sz val="10"/>
        <color theme="1"/>
        <rFont val="Arial Unicode MS"/>
      </rPr>
      <t>?</t>
    </r>
    <r>
      <rPr>
        <sz val="11"/>
        <color theme="1"/>
        <rFont val="Aptos Narrow"/>
        <family val="2"/>
        <scheme val="minor"/>
      </rPr>
      <t xml:space="preserve"> (e.g., replace all "PRD*" with "Item-*").</t>
    </r>
  </si>
  <si>
    <t>Sale ID</t>
  </si>
  <si>
    <t>Rina Reddy</t>
  </si>
  <si>
    <t>Row Labels</t>
  </si>
  <si>
    <t>Grand Total</t>
  </si>
  <si>
    <t>Sum of Sales Amount</t>
  </si>
  <si>
    <t xml:space="preserve"> Insert a Pivot Table to analyze the sales data.</t>
  </si>
  <si>
    <t xml:space="preserve"> Add fields to the Pivot Table for analysis (e.g., product, sales amount).</t>
  </si>
  <si>
    <t>(All)</t>
  </si>
  <si>
    <t>Column Labels</t>
  </si>
  <si>
    <t>Apply filters to the Pivot Table to refine the data analysis</t>
  </si>
  <si>
    <t>Explain the basic components and functionalities of a Pivot Table</t>
  </si>
  <si>
    <t>Rows:</t>
  </si>
  <si>
    <t>Categories or labels shown vertically in the table (e.g., Product names, Dates).</t>
  </si>
  <si>
    <t>Columns:</t>
  </si>
  <si>
    <t>Categories shown horizontally across the top (e.g., Region, Quarter).</t>
  </si>
  <si>
    <t>Values:</t>
  </si>
  <si>
    <t>Numeric data to summarize (e.g., Sales Amount, Quantity). Usually summarized by SUM, COUNT, AVERAGE, etc.</t>
  </si>
  <si>
    <t>Filters:</t>
  </si>
  <si>
    <t>Allow you to narrow down the entire Pivot Table to show only selected data (e.g., by Product or Date).</t>
  </si>
  <si>
    <t>Field list:</t>
  </si>
  <si>
    <t>The side panel that appears when you select a Pivot Table. It contains all the fields (columns) from your data source.</t>
  </si>
  <si>
    <t>FUCTIONALITIES</t>
  </si>
  <si>
    <t>Summarizes Data</t>
  </si>
  <si>
    <t>Drag-and-Drop Interface</t>
  </si>
  <si>
    <t>Sorting and Filtering</t>
  </si>
  <si>
    <t>Group Data</t>
  </si>
  <si>
    <t>Expand/Collapse Detail</t>
  </si>
  <si>
    <t>Refresh data</t>
  </si>
  <si>
    <t xml:space="preserve"> Use the Pivot Table to group sales data by month</t>
  </si>
  <si>
    <t>Jul</t>
  </si>
  <si>
    <t>2025</t>
  </si>
  <si>
    <t>Create multiple tables within the Pivot Table for different analyses</t>
  </si>
  <si>
    <t>Sum of Sale ID</t>
  </si>
  <si>
    <t>Count of Product</t>
  </si>
  <si>
    <t>Count of Customer Name</t>
  </si>
  <si>
    <t>Experiment with grouping data by different periods (e.g., quarter, year)</t>
  </si>
  <si>
    <t>Qtr3</t>
  </si>
  <si>
    <t>Use multiple tables to compare sales across different products</t>
  </si>
  <si>
    <t>Explain the benefits of grouping and using multiple tables in Pivot Tables</t>
  </si>
  <si>
    <t>Grouping:</t>
  </si>
  <si>
    <t>Simplify and summarize data</t>
  </si>
  <si>
    <t>Best for time series, categorization</t>
  </si>
  <si>
    <t>Easy (right-click &gt; Group)</t>
  </si>
  <si>
    <t>Custom ranges, drill-down</t>
  </si>
  <si>
    <t>Multiple tables:</t>
  </si>
  <si>
    <t>Link related data from various sources</t>
  </si>
  <si>
    <t>Normalized databases, large datasets</t>
  </si>
  <si>
    <t>Requires some setup (relationships/Data Model)</t>
  </si>
  <si>
    <t>DAX formulas, reusable models</t>
  </si>
  <si>
    <t>Group sales data by date in the Pivot Table</t>
  </si>
  <si>
    <t>Jan</t>
  </si>
  <si>
    <t>Feb</t>
  </si>
  <si>
    <t>Mar</t>
  </si>
  <si>
    <t> Handle blank cells in the Pivot Table</t>
  </si>
  <si>
    <t>Analyze the impact of blank cells on data grouping</t>
  </si>
  <si>
    <t>Use different date formats for grouping data</t>
  </si>
  <si>
    <t>Qtr1</t>
  </si>
  <si>
    <t>1-Jan</t>
  </si>
  <si>
    <t>2-Jan</t>
  </si>
  <si>
    <t>5-Jan</t>
  </si>
  <si>
    <t>10-Feb</t>
  </si>
  <si>
    <t>14-Feb</t>
  </si>
  <si>
    <t>20-Feb</t>
  </si>
  <si>
    <t>1-Mar</t>
  </si>
  <si>
    <t>5-Mar</t>
  </si>
  <si>
    <t>11-Mar</t>
  </si>
  <si>
    <t>Excel may skip the entire row.</t>
  </si>
  <si>
    <t>Dates won't group properly in Pivot Tables,</t>
  </si>
  <si>
    <t>1-Jul</t>
  </si>
  <si>
    <t>2-Jul</t>
  </si>
  <si>
    <t>3-Jul</t>
  </si>
  <si>
    <t>4-Jul</t>
  </si>
  <si>
    <t>5-Jul</t>
  </si>
  <si>
    <t>6-Jul</t>
  </si>
  <si>
    <t>Day</t>
  </si>
  <si>
    <t>Weeknum</t>
  </si>
  <si>
    <t>Month/Year</t>
  </si>
  <si>
    <t>Month Name</t>
  </si>
  <si>
    <t>2021</t>
  </si>
  <si>
    <t>2022</t>
  </si>
  <si>
    <t>2024</t>
  </si>
  <si>
    <t>Qtr2</t>
  </si>
  <si>
    <t>Explain the importance of managing blank cells in Pivot Table analysis</t>
  </si>
  <si>
    <t>Blanks can cause incorrect summaries (e.g., missing values reduce totals).</t>
  </si>
  <si>
    <t>Blanks may be treated as a separate group "(blank)", cluttering the report.</t>
  </si>
  <si>
    <t>A clean pivot table looks professional and is easier to read.</t>
  </si>
  <si>
    <t>Calculated fields or filters may not work as expected with blanks.</t>
  </si>
  <si>
    <t>Create custom groups in the Pivot Table (e.g., grouping products by category)</t>
  </si>
  <si>
    <t>Group1</t>
  </si>
  <si>
    <t>Group2</t>
  </si>
  <si>
    <t>Group3</t>
  </si>
  <si>
    <t xml:space="preserve"> Apply conditional formatting to highlight key data points</t>
  </si>
  <si>
    <t>Experiment with different conditional formatting rules</t>
  </si>
  <si>
    <t>Use custom grouping to create a more detailed data analysis</t>
  </si>
  <si>
    <t>Group4</t>
  </si>
  <si>
    <t>Electronics</t>
  </si>
  <si>
    <t>Smart Items</t>
  </si>
  <si>
    <t>Handy Iuse</t>
  </si>
  <si>
    <t xml:space="preserve"> Explain how custom grouping and conditional formatting enhance Pivot Table analysis</t>
  </si>
  <si>
    <t>Custom grouping:</t>
  </si>
  <si>
    <t>Makes category-wise comparison easier</t>
  </si>
  <si>
    <t>Identifies time-based trends clearly</t>
  </si>
  <si>
    <t>Helps segment performance tiers</t>
  </si>
  <si>
    <t>Conditional formatting:</t>
  </si>
  <si>
    <t>Quickly see best/worst items</t>
  </si>
  <si>
    <t>Makes comparison intuitive</t>
  </si>
  <si>
    <t>Focus attention on important results</t>
  </si>
  <si>
    <t>Product ID</t>
  </si>
  <si>
    <t>Category</t>
  </si>
  <si>
    <t>P001</t>
  </si>
  <si>
    <t>Computing</t>
  </si>
  <si>
    <t>P002</t>
  </si>
  <si>
    <t>Accessories</t>
  </si>
  <si>
    <t>P003</t>
  </si>
  <si>
    <t>P004</t>
  </si>
  <si>
    <t>P005</t>
  </si>
  <si>
    <t>P006</t>
  </si>
  <si>
    <t>Wearables</t>
  </si>
  <si>
    <t>P007</t>
  </si>
  <si>
    <t>P008</t>
  </si>
  <si>
    <t>P009</t>
  </si>
  <si>
    <t>P010</t>
  </si>
  <si>
    <t>Use the VLOOKUP function to find the price of a product based on its ID</t>
  </si>
  <si>
    <t> Experiment with different lookup values in the VLOOKUP function</t>
  </si>
  <si>
    <t>With Exact Match</t>
  </si>
  <si>
    <t>Using Product ID</t>
  </si>
  <si>
    <t>Using Cell Reference</t>
  </si>
  <si>
    <t>Handle errors in VLOOKUP results using IFERROR</t>
  </si>
  <si>
    <t>Product Id</t>
  </si>
  <si>
    <t>P011</t>
  </si>
  <si>
    <t> Explain the basic syntax and functionality of the VLOOKUP function</t>
  </si>
  <si>
    <t>VLOOKUP(lookup_value, table_array, col_index_num, [range_lookup])</t>
  </si>
  <si>
    <t>Functionality:</t>
  </si>
  <si>
    <t>Lookup_value:</t>
  </si>
  <si>
    <t>The value you want to find in the first column of the table.</t>
  </si>
  <si>
    <t>Table_array:</t>
  </si>
  <si>
    <t>The range of cells that contains the data (includes the column to return).</t>
  </si>
  <si>
    <t>Col_index_num:</t>
  </si>
  <si>
    <t>The column number in the table from which to return a value.</t>
  </si>
  <si>
    <t>range_lookup:</t>
  </si>
  <si>
    <t>Optional</t>
  </si>
  <si>
    <t>Use VLOOKUP with approximate match (TRUE) to find data in a range</t>
  </si>
  <si>
    <t>P013</t>
  </si>
  <si>
    <t> Compare exact match (FALSE) vs approximate match (TRUE) in VLOOKUP</t>
  </si>
  <si>
    <t>Exact:</t>
  </si>
  <si>
    <t>VLOOKUP(lookup_value, table, col_index, FALSE)</t>
  </si>
  <si>
    <t>VLOOKUP(lookup_value, table, col_index, TRUE</t>
  </si>
  <si>
    <t>Approx:</t>
  </si>
  <si>
    <t>Finds exact value only</t>
  </si>
  <si>
    <t>Finds closest lower match</t>
  </si>
  <si>
    <t> Use named ranges with VLOOKUP for better readability</t>
  </si>
  <si>
    <t>Combine VLOOKUP with other functions for advanced data retrieval</t>
  </si>
  <si>
    <t>Vlookup + IF</t>
  </si>
  <si>
    <t>Vlookup + Match</t>
  </si>
  <si>
    <t>Vlookup + IFERROR</t>
  </si>
  <si>
    <t>P015</t>
  </si>
  <si>
    <t xml:space="preserve"> Explain when to use approximate match vs exact match in VLOOKUP</t>
  </si>
  <si>
    <t>Exact match:</t>
  </si>
  <si>
    <t>Approx match:</t>
  </si>
  <si>
    <t>Use this when you want to find an exact value (like a product ID, name, or code).</t>
  </si>
  <si>
    <t>Use this when looking for a range based match — not an exact value.</t>
  </si>
  <si>
    <t>The lookup column must be sorted in ascending order.</t>
  </si>
  <si>
    <t>DATASET FOR VLOOKUP AND HLOOKUP</t>
  </si>
  <si>
    <t>VERTICAL FORMAT</t>
  </si>
  <si>
    <t>FOR VLOOKUP</t>
  </si>
  <si>
    <t>HORIZONTAL</t>
  </si>
  <si>
    <t>FORMAT FOR</t>
  </si>
  <si>
    <t>HLOOKUP</t>
  </si>
  <si>
    <t>Use VLOOKUP to retrieve data from a vertical dataset</t>
  </si>
  <si>
    <t xml:space="preserve"> Use HLOOKUP to retrieve data from a horizontal dataset</t>
  </si>
  <si>
    <t xml:space="preserve"> Compare the syntax and usage of VLOOKUP vs HLOOKUP</t>
  </si>
  <si>
    <t>Vlookup:</t>
  </si>
  <si>
    <t>Hlookup:</t>
  </si>
  <si>
    <t>HLOOKUP(lookup_value, table_array, row_index_num, [range_lookup])</t>
  </si>
  <si>
    <t>Data is organized in columns (top to bottom)</t>
  </si>
  <si>
    <t>Data is organized in rows (left to right)</t>
  </si>
  <si>
    <t xml:space="preserve"> Explain the scenarios where VLOOKUP or HLOOKUP would be more appropriate</t>
  </si>
  <si>
    <t>Data is listed in rows under headers</t>
  </si>
  <si>
    <t>You want to pull information from a column</t>
  </si>
  <si>
    <t>Most typical business datasets (sales, inventory, etc.)</t>
  </si>
  <si>
    <t>VLOOKUP</t>
  </si>
  <si>
    <t>you want to find a value by looking vertically down a column.</t>
  </si>
  <si>
    <t>Use VLOOKUP when your data is organized in columns and</t>
  </si>
  <si>
    <t>Your data is listed in columns under a single row header</t>
  </si>
  <si>
    <t>You want to retrieve information from rows</t>
  </si>
  <si>
    <t>Less common layout, but useful in reports or transposed tables</t>
  </si>
  <si>
    <t>Use HLOOKUP when your data is organized in rows and</t>
  </si>
  <si>
    <t>you want to find a value by looking horizontally across a row.</t>
  </si>
  <si>
    <t>Sales Date</t>
  </si>
  <si>
    <t>S001</t>
  </si>
  <si>
    <t>S002</t>
  </si>
  <si>
    <t>Gaming Laptop</t>
  </si>
  <si>
    <t>S003</t>
  </si>
  <si>
    <t>S004</t>
  </si>
  <si>
    <t>Android Tablet</t>
  </si>
  <si>
    <t>S005</t>
  </si>
  <si>
    <t>Fitness Tracker</t>
  </si>
  <si>
    <t>S006</t>
  </si>
  <si>
    <t>LED Monitor</t>
  </si>
  <si>
    <t>S007</t>
  </si>
  <si>
    <t>External SSD</t>
  </si>
  <si>
    <t>Storage</t>
  </si>
  <si>
    <t>S008</t>
  </si>
  <si>
    <t>Smart TV</t>
  </si>
  <si>
    <t>S009</t>
  </si>
  <si>
    <t>S010</t>
  </si>
  <si>
    <t xml:space="preserve"> Use COUNTIF to count the number of sales above a certain amount</t>
  </si>
  <si>
    <t>COUNTIF</t>
  </si>
  <si>
    <t>FUNCTION</t>
  </si>
  <si>
    <t xml:space="preserve">  Apply SUMIF to calculate the total sales for a specific product</t>
  </si>
  <si>
    <t>SUMIF</t>
  </si>
  <si>
    <t xml:space="preserve"> Use AVERAGEIF to find the average sales amount for a certain product category</t>
  </si>
  <si>
    <t>AVERAGEIF</t>
  </si>
  <si>
    <t>Compare COUNTIF, SUMIF, and AVERAGEIF formulas and their use cases</t>
  </si>
  <si>
    <t xml:space="preserve">SUMIF : </t>
  </si>
  <si>
    <t>COUNTIF :</t>
  </si>
  <si>
    <t>AVERAGEIF :</t>
  </si>
  <si>
    <t>Adds up values based on a single condition.</t>
  </si>
  <si>
    <t>Counts the number of cells that meet a single condition.</t>
  </si>
  <si>
    <t>Calculates the average of values that meet a single condition.</t>
  </si>
  <si>
    <t>NEW DATASET</t>
  </si>
  <si>
    <t> Use COUNTIFS to count the number of sales meeting multiple criteria</t>
  </si>
  <si>
    <t> Apply SUMIFS to calculate total sales meeting multiple criteria</t>
  </si>
  <si>
    <t>Experiment with different combinations of criteria in COUNTIFS and SUMIFS</t>
  </si>
  <si>
    <t>ABOVE 25000</t>
  </si>
  <si>
    <t xml:space="preserve">SUMIF </t>
  </si>
  <si>
    <t>SMARTPHONES</t>
  </si>
  <si>
    <t>sales</t>
  </si>
  <si>
    <t>SUMIF below 10000</t>
  </si>
  <si>
    <t>COUNTIF sales in NORTH</t>
  </si>
  <si>
    <t>NORTH</t>
  </si>
  <si>
    <t>SUMIF above 10000 EAST</t>
  </si>
  <si>
    <t>COUNTIF below 5000 SOUTH</t>
  </si>
  <si>
    <t xml:space="preserve">  Explain the importance of using COUNTIFS and SUMIFS for complex data analysis</t>
  </si>
  <si>
    <t>SUMIFS :</t>
  </si>
  <si>
    <t>COUNTIFS :</t>
  </si>
  <si>
    <t>Counts entries by multiple criteria</t>
  </si>
  <si>
    <t>Increases report flexibility</t>
  </si>
  <si>
    <t>Replaces manual filtering</t>
  </si>
  <si>
    <t>Sums values by multiple criteria</t>
  </si>
  <si>
    <t>Invoice No</t>
  </si>
  <si>
    <t>Item Name</t>
  </si>
  <si>
    <t>Item Type</t>
  </si>
  <si>
    <t>INV1001</t>
  </si>
  <si>
    <t>₹18,000</t>
  </si>
  <si>
    <t>INV1002</t>
  </si>
  <si>
    <t>₹72,000</t>
  </si>
  <si>
    <t>INV1003</t>
  </si>
  <si>
    <t>₹30,000</t>
  </si>
  <si>
    <t>INV1004</t>
  </si>
  <si>
    <t>Tablet Pro 10</t>
  </si>
  <si>
    <t>Tablets</t>
  </si>
  <si>
    <t>₹96,000</t>
  </si>
  <si>
    <t>INV1005</t>
  </si>
  <si>
    <t>Smart Speaker</t>
  </si>
  <si>
    <t>₹27,000</t>
  </si>
  <si>
    <t>INV1006</t>
  </si>
  <si>
    <t>USB Hub 4-Port</t>
  </si>
  <si>
    <t>₹10,000</t>
  </si>
  <si>
    <t>INV1007</t>
  </si>
  <si>
    <t>₹84,000</t>
  </si>
  <si>
    <t>INV1008</t>
  </si>
  <si>
    <t>Smartwatch Z</t>
  </si>
  <si>
    <t>₹55,000</t>
  </si>
  <si>
    <t>INV1009</t>
  </si>
  <si>
    <t>Bluetooth Headset</t>
  </si>
  <si>
    <t>₹22,000</t>
  </si>
  <si>
    <t>INV1010</t>
  </si>
  <si>
    <t>₹25,000</t>
  </si>
  <si>
    <t xml:space="preserve"> Apply conditional formatting to highlight sales greater than a specified amount</t>
  </si>
  <si>
    <t xml:space="preserve"> Use color scales to represent different ranges of sales amounts</t>
  </si>
  <si>
    <t xml:space="preserve"> Experiment with data bars to visually represent sales data</t>
  </si>
  <si>
    <t xml:space="preserve"> Apply icon sets to show trends and performance indicators in the data</t>
  </si>
  <si>
    <t>Unit Price</t>
  </si>
  <si>
    <t>Total Sale</t>
  </si>
  <si>
    <t>JAN - Sheet</t>
  </si>
  <si>
    <t>FEB - Sheet</t>
  </si>
  <si>
    <t>MAR - Sheet</t>
  </si>
  <si>
    <t>Use the Consolidate feature with the SUM function to aggregate sales data from multiple sheets</t>
  </si>
  <si>
    <t>Experiment with different summary functions (e.g., Average, Count) in Consolidate</t>
  </si>
  <si>
    <t>Average -</t>
  </si>
  <si>
    <t>Count -</t>
  </si>
  <si>
    <t>MAX -</t>
  </si>
  <si>
    <t>Verify the consolidated data for accuracy</t>
  </si>
  <si>
    <r>
      <t>Check totals</t>
    </r>
    <r>
      <rPr>
        <sz val="11"/>
        <color theme="1"/>
        <rFont val="Aptos Narrow"/>
        <family val="2"/>
        <scheme val="minor"/>
      </rPr>
      <t xml:space="preserve">: Use </t>
    </r>
    <r>
      <rPr>
        <sz val="10"/>
        <color theme="1"/>
        <rFont val="Arial Unicode MS"/>
      </rPr>
      <t>SUM</t>
    </r>
    <r>
      <rPr>
        <sz val="11"/>
        <color theme="1"/>
        <rFont val="Aptos Narrow"/>
        <family val="2"/>
        <scheme val="minor"/>
      </rPr>
      <t xml:space="preserve">, </t>
    </r>
    <r>
      <rPr>
        <sz val="10"/>
        <color theme="1"/>
        <rFont val="Arial Unicode MS"/>
      </rPr>
      <t>SUMIFS</t>
    </r>
    <r>
      <rPr>
        <sz val="11"/>
        <color theme="1"/>
        <rFont val="Aptos Narrow"/>
        <family val="2"/>
        <scheme val="minor"/>
      </rPr>
      <t>, or manual calculation to confirm consolidated values match source sheets.</t>
    </r>
  </si>
  <si>
    <r>
      <t>Ensure consistency</t>
    </r>
    <r>
      <rPr>
        <sz val="11"/>
        <color theme="1"/>
        <rFont val="Aptos Narrow"/>
        <family val="2"/>
        <scheme val="minor"/>
      </rPr>
      <t>: All source sheets must have identical headers and data types.</t>
    </r>
  </si>
  <si>
    <r>
      <t>Use Pivot Table</t>
    </r>
    <r>
      <rPr>
        <sz val="11"/>
        <color theme="1"/>
        <rFont val="Aptos Narrow"/>
        <family val="2"/>
        <scheme val="minor"/>
      </rPr>
      <t>: Create a Pivot Table on the consolidated data to cross-check totals.</t>
    </r>
  </si>
  <si>
    <r>
      <t>Re-run Consolidate</t>
    </r>
    <r>
      <rPr>
        <sz val="11"/>
        <color theme="1"/>
        <rFont val="Aptos Narrow"/>
        <family val="2"/>
        <scheme val="minor"/>
      </rPr>
      <t>: If errors exist, reselect ranges and ensure correct labels (top row/left column) are selected.</t>
    </r>
  </si>
  <si>
    <t>Explain the benefits of using the Consolidate feature for report aggregation</t>
  </si>
  <si>
    <t>Combines Multiple Sheets Easily</t>
  </si>
  <si>
    <t>Supports Summary Functions</t>
  </si>
  <si>
    <t>Maintains Data Structure</t>
  </si>
  <si>
    <t>Reduces errors</t>
  </si>
  <si>
    <t>Dynamic Updates</t>
  </si>
  <si>
    <t>Total Sales</t>
  </si>
  <si>
    <t>SOUTH</t>
  </si>
  <si>
    <t>EAST</t>
  </si>
  <si>
    <t xml:space="preserve">WEST </t>
  </si>
  <si>
    <t>Use the CONSOLIDATE feature to combine the data into a summary sheet</t>
  </si>
  <si>
    <t> Experiment with consolidating data by categories</t>
  </si>
  <si>
    <t>Multiple different sheets by category</t>
  </si>
  <si>
    <t>Apply the Consolidate feature to a different dataset for practice</t>
  </si>
  <si>
    <t>In Stock</t>
  </si>
  <si>
    <t>Shirt</t>
  </si>
  <si>
    <t>Jeans</t>
  </si>
  <si>
    <t>Shoes</t>
  </si>
  <si>
    <t>Item</t>
  </si>
  <si>
    <t>Hat</t>
  </si>
  <si>
    <t>Shorts</t>
  </si>
  <si>
    <t>Trousers</t>
  </si>
  <si>
    <t>PRACTICE DATASET</t>
  </si>
  <si>
    <t>Items</t>
  </si>
  <si>
    <t> Explain how the CONSOLIDATE feature improves data management</t>
  </si>
  <si>
    <t>Eliminates manual errors</t>
  </si>
  <si>
    <t>Handle mismatched data</t>
  </si>
  <si>
    <t>Flexible aggregation</t>
  </si>
  <si>
    <t>Works across workbooks</t>
  </si>
  <si>
    <t>Simplifies reporting</t>
  </si>
  <si>
    <t>Product_Type</t>
  </si>
  <si>
    <t>Product_Name</t>
  </si>
  <si>
    <t>Units_Sold</t>
  </si>
  <si>
    <t>Price_Per_Unit</t>
  </si>
  <si>
    <t>Sales_Date</t>
  </si>
  <si>
    <t>Furniture</t>
  </si>
  <si>
    <t>Office Chair</t>
  </si>
  <si>
    <t>Home Appliances</t>
  </si>
  <si>
    <t>Air Purifier</t>
  </si>
  <si>
    <t>Clothing</t>
  </si>
  <si>
    <t>Men's Jacket</t>
  </si>
  <si>
    <t>Central</t>
  </si>
  <si>
    <t>Study Table</t>
  </si>
  <si>
    <t>Microwave Oven</t>
  </si>
  <si>
    <t>Women's Kurti</t>
  </si>
  <si>
    <t>Bookshelf</t>
  </si>
  <si>
    <t>Refrigerator</t>
  </si>
  <si>
    <t>Kids T-shirt</t>
  </si>
  <si>
    <t>Sofa Set</t>
  </si>
  <si>
    <t>Washing Machine</t>
  </si>
  <si>
    <t xml:space="preserve"> Use the SUBTOTAL feature to calculate the total sales for each product type</t>
  </si>
  <si>
    <t>Clothing Total</t>
  </si>
  <si>
    <t>Electronics Total</t>
  </si>
  <si>
    <t>Furniture Total</t>
  </si>
  <si>
    <t>Home Appliances Total</t>
  </si>
  <si>
    <t>Apply different SUBTOTAL functions (e.g., Average, Count) for analysis</t>
  </si>
  <si>
    <t>Electronics Count</t>
  </si>
  <si>
    <t>Furniture Count</t>
  </si>
  <si>
    <t>Home Appliances Count</t>
  </si>
  <si>
    <t>Clothing Count</t>
  </si>
  <si>
    <t>Grand Count</t>
  </si>
  <si>
    <t>Electronics Average</t>
  </si>
  <si>
    <t>Furniture Average</t>
  </si>
  <si>
    <t>Home Appliances Average</t>
  </si>
  <si>
    <t>Clothing Average</t>
  </si>
  <si>
    <t>Grand Average</t>
  </si>
  <si>
    <t>AVERAGE</t>
  </si>
  <si>
    <t>COUNT</t>
  </si>
  <si>
    <t>Use filters in combination with the SUBTOTAL function to refine the data</t>
  </si>
  <si>
    <t>Total Sum</t>
  </si>
  <si>
    <t xml:space="preserve"> Explain the importance of the SUBTOTAL feature in detailed data analysis</t>
  </si>
  <si>
    <t>Group-wise Calculations Made Easy</t>
  </si>
  <si>
    <t>Works with Filters (Dynamic Updates)</t>
  </si>
  <si>
    <t>Keeps Original Data Intact</t>
  </si>
  <si>
    <t>Outline and Collapse for Summary Views</t>
  </si>
  <si>
    <r>
      <rPr>
        <sz val="11"/>
        <color theme="1"/>
        <rFont val="Aptos Narrow"/>
        <family val="2"/>
        <scheme val="minor"/>
      </rPr>
      <t>Multiple Function Support</t>
    </r>
  </si>
  <si>
    <r>
      <rPr>
        <sz val="11"/>
        <color theme="1"/>
        <rFont val="Aptos Narrow"/>
        <family val="2"/>
        <scheme val="minor"/>
      </rPr>
      <t>Efficient in Large Datasets</t>
    </r>
  </si>
  <si>
    <t> Research and write a brief explanation of what VBA Macros are</t>
  </si>
  <si>
    <r>
      <t xml:space="preserve">A </t>
    </r>
    <r>
      <rPr>
        <b/>
        <sz val="11"/>
        <color theme="1"/>
        <rFont val="Aptos Narrow"/>
        <family val="2"/>
        <scheme val="minor"/>
      </rPr>
      <t>Macro</t>
    </r>
    <r>
      <rPr>
        <sz val="11"/>
        <color theme="1"/>
        <rFont val="Aptos Narrow"/>
        <family val="2"/>
        <scheme val="minor"/>
      </rPr>
      <t xml:space="preserve"> is a set of recorded or written instructions that automate repetitive tasks.</t>
    </r>
  </si>
  <si>
    <t>Common tasks include:</t>
  </si>
  <si>
    <t>Formatting data</t>
  </si>
  <si>
    <t>Generating reports</t>
  </si>
  <si>
    <t>Creating custom functions</t>
  </si>
  <si>
    <t>Automating calculations</t>
  </si>
  <si>
    <t>Interacting with other files or applications</t>
  </si>
  <si>
    <t>HOW MACROS WORK :</t>
  </si>
  <si>
    <r>
      <t>VBA Macros</t>
    </r>
    <r>
      <rPr>
        <sz val="11"/>
        <color theme="1"/>
        <rFont val="Aptos Narrow"/>
        <family val="2"/>
        <scheme val="minor"/>
      </rPr>
      <t xml:space="preserve"> (Visual Basic for Applications Macros) are automated scripts written in the VBA programming</t>
    </r>
  </si>
  <si>
    <t>language that are used to perform tasks in Microsoft Office applications like Excel, Word, and Access.</t>
  </si>
  <si>
    <t>You record actions in Excel or write VBA code manually.</t>
  </si>
  <si>
    <t>When you run the macro, it repeats those actions instantly.</t>
  </si>
  <si>
    <t>Useful for time-saving, error reduction, and workflow automation.</t>
  </si>
  <si>
    <t xml:space="preserve"> List the advantages and disadvantages of using VBA Macros</t>
  </si>
  <si>
    <t>ADVANTAGES :</t>
  </si>
  <si>
    <t>Automation of Repetitive Tasks</t>
  </si>
  <si>
    <t>Saves Time and Effort</t>
  </si>
  <si>
    <t>Customization</t>
  </si>
  <si>
    <t>Enhances Accuracy</t>
  </si>
  <si>
    <t>Integration with Other Applications</t>
  </si>
  <si>
    <t>User-Friendly with Macro Recorder</t>
  </si>
  <si>
    <t>Reusability</t>
  </si>
  <si>
    <t>DISADVANTAGES :</t>
  </si>
  <si>
    <t>Security Risks</t>
  </si>
  <si>
    <t>Performance Issues</t>
  </si>
  <si>
    <t>Difficult to debug</t>
  </si>
  <si>
    <t>Not Cross-Platform</t>
  </si>
  <si>
    <t>Requires Technical Knowledge for Advanced Tasks</t>
  </si>
  <si>
    <t>Compatibility Problems</t>
  </si>
  <si>
    <t xml:space="preserve"> Identify scenarios where VBA Macros can be particularly useful</t>
  </si>
  <si>
    <t>Automating Repetitive Tasks :</t>
  </si>
  <si>
    <r>
      <t>Scenario</t>
    </r>
    <r>
      <rPr>
        <sz val="11"/>
        <color theme="1"/>
        <rFont val="Aptos Narrow"/>
        <family val="2"/>
        <scheme val="minor"/>
      </rPr>
      <t>: Daily sales reports need to be formatted, sorted, and filtered the same way every time.</t>
    </r>
  </si>
  <si>
    <r>
      <t>Macro Use</t>
    </r>
    <r>
      <rPr>
        <sz val="11"/>
        <color theme="1"/>
        <rFont val="Aptos Narrow"/>
        <family val="2"/>
        <scheme val="minor"/>
      </rPr>
      <t>: Automate all these steps with one click.</t>
    </r>
  </si>
  <si>
    <t>Generating Monthly Reports</t>
  </si>
  <si>
    <r>
      <t>Scenario</t>
    </r>
    <r>
      <rPr>
        <sz val="11"/>
        <color theme="1"/>
        <rFont val="Aptos Narrow"/>
        <family val="2"/>
        <scheme val="minor"/>
      </rPr>
      <t>: A finance team creates 10 similar monthly reports with charts and summaries.</t>
    </r>
  </si>
  <si>
    <r>
      <t>Macro Use</t>
    </r>
    <r>
      <rPr>
        <sz val="11"/>
        <color theme="1"/>
        <rFont val="Aptos Narrow"/>
        <family val="2"/>
        <scheme val="minor"/>
      </rPr>
      <t>: Automatically pull data, update charts, and export PDFs.</t>
    </r>
  </si>
  <si>
    <t>Data Cleaning</t>
  </si>
  <si>
    <r>
      <t>Scenario</t>
    </r>
    <r>
      <rPr>
        <sz val="11"/>
        <color theme="1"/>
        <rFont val="Aptos Narrow"/>
        <family val="2"/>
        <scheme val="minor"/>
      </rPr>
      <t>: You need a specialized formula not available in Excel (e.g., extract initials from a name).</t>
    </r>
  </si>
  <si>
    <r>
      <t>Macro Use</t>
    </r>
    <r>
      <rPr>
        <sz val="11"/>
        <color theme="1"/>
        <rFont val="Aptos Narrow"/>
        <family val="2"/>
        <scheme val="minor"/>
      </rPr>
      <t>: Write a custom VBA function to handle it.</t>
    </r>
  </si>
  <si>
    <t>Creating Custom Functions</t>
  </si>
  <si>
    <t>Importing or Exporting Data</t>
  </si>
  <si>
    <r>
      <t>Scenario</t>
    </r>
    <r>
      <rPr>
        <sz val="11"/>
        <color theme="1"/>
        <rFont val="Aptos Narrow"/>
        <family val="2"/>
        <scheme val="minor"/>
      </rPr>
      <t>: Importing data from a CSV file daily, or exporting filtered Excel data to a text file.</t>
    </r>
  </si>
  <si>
    <r>
      <t>Macro Use</t>
    </r>
    <r>
      <rPr>
        <sz val="11"/>
        <color theme="1"/>
        <rFont val="Aptos Narrow"/>
        <family val="2"/>
        <scheme val="minor"/>
      </rPr>
      <t>: Automate the file handling process.</t>
    </r>
  </si>
  <si>
    <t> Explain the difference between recording a macro and writing VBA code</t>
  </si>
  <si>
    <t>RECORDING MACRO :</t>
  </si>
  <si>
    <t>Very beginner-friendly — no coding needed.</t>
  </si>
  <si>
    <t>Simple, repetitive tasks like formatting, sorting, filtering, etc.</t>
  </si>
  <si>
    <r>
      <t xml:space="preserve">Cannot record logic (e.g., </t>
    </r>
    <r>
      <rPr>
        <sz val="10"/>
        <color theme="1"/>
        <rFont val="Arial Unicode MS"/>
      </rPr>
      <t>IF</t>
    </r>
    <r>
      <rPr>
        <sz val="11"/>
        <color theme="1"/>
        <rFont val="Aptos Narrow"/>
        <family val="2"/>
        <scheme val="minor"/>
      </rPr>
      <t xml:space="preserve"> conditions), loops, or advanced user interaction.</t>
    </r>
  </si>
  <si>
    <t>Captures your actions in Excel (e.g., formatting, typing, copying) and converts them into</t>
  </si>
  <si>
    <t>VBA code automatically.</t>
  </si>
  <si>
    <t>WRITING VBA CODE :</t>
  </si>
  <si>
    <r>
      <t xml:space="preserve">Go to </t>
    </r>
    <r>
      <rPr>
        <b/>
        <sz val="11"/>
        <color theme="1"/>
        <rFont val="Aptos Narrow"/>
        <family val="2"/>
        <scheme val="minor"/>
      </rPr>
      <t>Developer tab → Record Macro</t>
    </r>
    <r>
      <rPr>
        <sz val="11"/>
        <color theme="1"/>
        <rFont val="Aptos Narrow"/>
        <family val="2"/>
        <scheme val="minor"/>
      </rPr>
      <t>, perform actions, then stop recording.</t>
    </r>
  </si>
  <si>
    <r>
      <t xml:space="preserve">You write VBA code directly in the </t>
    </r>
    <r>
      <rPr>
        <b/>
        <sz val="11"/>
        <color theme="1"/>
        <rFont val="Aptos Narrow"/>
        <family val="2"/>
        <scheme val="minor"/>
      </rPr>
      <t>Visual Basic Editor (VBE)</t>
    </r>
    <r>
      <rPr>
        <sz val="11"/>
        <color theme="1"/>
        <rFont val="Aptos Narrow"/>
        <family val="2"/>
        <scheme val="minor"/>
      </rPr>
      <t>.</t>
    </r>
  </si>
  <si>
    <t>Full control over logic, loops, error handling, user forms, and more.</t>
  </si>
  <si>
    <t>Requires understanding of the VBA language and syntax.</t>
  </si>
  <si>
    <t>Complex automation, custom functions, dynamic reports, inter-application tasks.</t>
  </si>
  <si>
    <r>
      <t xml:space="preserve">Press </t>
    </r>
    <r>
      <rPr>
        <sz val="10"/>
        <color theme="1"/>
        <rFont val="Arial Unicode MS"/>
      </rPr>
      <t>Alt + F11</t>
    </r>
    <r>
      <rPr>
        <sz val="11"/>
        <color theme="1"/>
        <rFont val="Aptos Narrow"/>
        <family val="2"/>
        <scheme val="minor"/>
      </rPr>
      <t xml:space="preserve"> to open the </t>
    </r>
    <r>
      <rPr>
        <b/>
        <sz val="11"/>
        <color theme="1"/>
        <rFont val="Aptos Narrow"/>
        <family val="2"/>
        <scheme val="minor"/>
      </rPr>
      <t>VBA Editor</t>
    </r>
    <r>
      <rPr>
        <sz val="11"/>
        <color theme="1"/>
        <rFont val="Aptos Narrow"/>
        <family val="2"/>
        <scheme val="minor"/>
      </rPr>
      <t>, then write or edit code.</t>
    </r>
  </si>
  <si>
    <t>Describe the security considerations when using VBA Macros</t>
  </si>
  <si>
    <t>Malicious actors can embed harmful VBA code in Excel files.</t>
  </si>
  <si>
    <t>These macros may delete files, steal data, or infect other documents when opened.</t>
  </si>
  <si>
    <t>This allows users to verify the authenticity and integrity of the macro code.</t>
  </si>
  <si>
    <t>Excel can be configured to run only signed macros.</t>
  </si>
  <si>
    <t>Developers can sign their macros using a digital certificate.</t>
  </si>
  <si>
    <t>Only enable macros from known, trusted authors or organizations.</t>
  </si>
  <si>
    <t xml:space="preserve"> Macro viruses, these are a major reason why macros are often disabled by default.</t>
  </si>
  <si>
    <t>Always keep macro security settings on “Disable with notification” or stricter unless you trust the source.</t>
  </si>
  <si>
    <t> Enable the Developer tab in Excel by customizing the ribbon</t>
  </si>
  <si>
    <t>DONE</t>
  </si>
  <si>
    <t xml:space="preserve">  Explore the different options available in the Developer tab</t>
  </si>
  <si>
    <t>Write a step-by-step guide on how to enable and use the Developer tab</t>
  </si>
  <si>
    <t>HOW TO ENABLE DEVELOPER TAB</t>
  </si>
  <si>
    <t xml:space="preserve"> Open Microsoft Excel.</t>
  </si>
  <si>
    <t>Click OK</t>
  </si>
  <si>
    <t>Click on the File tab (top-left corner).</t>
  </si>
  <si>
    <t>Click Options at the bottom of the left sidebar.</t>
  </si>
  <si>
    <t>In the Excel Options window, click on Customize Ribbon from the left panel.</t>
  </si>
  <si>
    <t>On the right side, under Main Tabs, check the box for Developer.</t>
  </si>
  <si>
    <t>The Developer tab will now appear on the Excel ribbon at the top.</t>
  </si>
  <si>
    <t xml:space="preserve"> Explain the importance of the Developer tab for advanced Excel users</t>
  </si>
  <si>
    <t>who want to go beyond basic spreadsheet functions.</t>
  </si>
  <si>
    <t>It unlocks advanced features that are essential for automation, customization</t>
  </si>
  <si>
    <t>and application development within Excel.</t>
  </si>
  <si>
    <t>Why Developer Tab Is Important</t>
  </si>
  <si>
    <t>For advanced data handling and integration.</t>
  </si>
  <si>
    <t>The Developer tab in Excel is a powerful toolbox designed for users</t>
  </si>
  <si>
    <t>Write, edit, and manage macros using the built-in VBA Editor.</t>
  </si>
  <si>
    <t>Lets users record a sequence of actions and play them back automatically.</t>
  </si>
  <si>
    <t>Provides tools to insert buttons, checkboxes, drop-downs, scroll bars, and more.</t>
  </si>
  <si>
    <t>Load and manage third-party or custom Excel add-ins.</t>
  </si>
  <si>
    <t>Add-ins can provide advanced tools like Power Query extensions, custom calculators, or data connections.</t>
  </si>
  <si>
    <t>List the key features accessible through the Developer tab</t>
  </si>
  <si>
    <t>Visual Basic</t>
  </si>
  <si>
    <t>Opens the VBA editor to write and edit macro code.</t>
  </si>
  <si>
    <t>View, run, edit, or delete recorded macros.</t>
  </si>
  <si>
    <t>Macro</t>
  </si>
  <si>
    <t>Automatically records your actions as a macro.</t>
  </si>
  <si>
    <t>Record Macro</t>
  </si>
  <si>
    <t>Use Relative References</t>
  </si>
  <si>
    <t>Records macros using cell positions relative to the active cell.</t>
  </si>
  <si>
    <t>Manage security settings for enabling or disabling macros.</t>
  </si>
  <si>
    <t>Macro Security</t>
  </si>
  <si>
    <t>Design Mode</t>
  </si>
  <si>
    <t>Allows editing and customization of inserted controls.</t>
  </si>
  <si>
    <t>View or edit properties of selected controls (e.g., name, color, font).</t>
  </si>
  <si>
    <t>Properties</t>
  </si>
  <si>
    <t>Opens the code window linked to a selected control for event-driven programming.</t>
  </si>
  <si>
    <t>View Code</t>
  </si>
  <si>
    <t>Manage Excel Add-ins and COM Add-ins to extend Excel functionality.</t>
  </si>
  <si>
    <t>Add-ins</t>
  </si>
  <si>
    <t>Import, export, and map XML data for structured data processing.</t>
  </si>
  <si>
    <t>XML Tools</t>
  </si>
  <si>
    <t>P1001</t>
  </si>
  <si>
    <t>P1002</t>
  </si>
  <si>
    <t>P1003</t>
  </si>
  <si>
    <t>Appliances</t>
  </si>
  <si>
    <t>P1004</t>
  </si>
  <si>
    <t>P1005</t>
  </si>
  <si>
    <t>P1006</t>
  </si>
  <si>
    <t>P1007</t>
  </si>
  <si>
    <t>P1008</t>
  </si>
  <si>
    <t>P1009</t>
  </si>
  <si>
    <t>P1010</t>
  </si>
  <si>
    <t>Save the macro in the Personal Macro Workbook for future use</t>
  </si>
  <si>
    <t xml:space="preserve"> Run the recorded macro and observe its effects</t>
  </si>
  <si>
    <t>OK</t>
  </si>
  <si>
    <t>Done</t>
  </si>
  <si>
    <t> Edit the recorded macro to add or change functionality</t>
  </si>
  <si>
    <t xml:space="preserve"> Assign a macro to a button on the worksheet and run it</t>
  </si>
  <si>
    <t xml:space="preserve"> Run a macro using a keyboard shortcut</t>
  </si>
  <si>
    <t>Execute a macro from the Developer tab</t>
  </si>
  <si>
    <t>Go to the Developer Tab</t>
  </si>
  <si>
    <t>Go to File → Options → Customize Ribbon</t>
  </si>
  <si>
    <t>Tick the Developer checkbox and click OK</t>
  </si>
  <si>
    <t>Select the Macro You Want to Run</t>
  </si>
  <si>
    <r>
      <t xml:space="preserve">Click on the macro name (e.g., </t>
    </r>
    <r>
      <rPr>
        <sz val="10"/>
        <color theme="1"/>
        <rFont val="Arial Unicode MS"/>
      </rPr>
      <t>FormatTable</t>
    </r>
    <r>
      <rPr>
        <sz val="11"/>
        <color theme="1"/>
        <rFont val="Aptos Narrow"/>
        <family val="2"/>
        <scheme val="minor"/>
      </rPr>
      <t>)</t>
    </r>
  </si>
  <si>
    <t>Click Run</t>
  </si>
  <si>
    <r>
      <rPr>
        <sz val="11"/>
        <color theme="1"/>
        <rFont val="Aptos Narrow"/>
        <family val="2"/>
        <scheme val="minor"/>
      </rPr>
      <t>Click the “Macros” Button</t>
    </r>
  </si>
  <si>
    <t>In the Developer tab, click Macros</t>
  </si>
  <si>
    <t>Simple</t>
  </si>
  <si>
    <t>Macro name</t>
  </si>
  <si>
    <t>Record a simple macro to automate a repetitive task (e.g., formatting a table).</t>
  </si>
  <si>
    <t>Name</t>
  </si>
  <si>
    <t>Height (cm)</t>
  </si>
  <si>
    <t>Explain the process and benefits of recording and saving macros</t>
  </si>
  <si>
    <r>
      <t>Start Recording</t>
    </r>
    <r>
      <rPr>
        <sz val="11"/>
        <color theme="1"/>
        <rFont val="Aptos Narrow"/>
        <family val="2"/>
        <scheme val="minor"/>
      </rPr>
      <t>:</t>
    </r>
  </si>
  <si>
    <r>
      <t xml:space="preserve">Give the macro a </t>
    </r>
    <r>
      <rPr>
        <b/>
        <sz val="11"/>
        <color theme="1"/>
        <rFont val="Aptos Narrow"/>
        <family val="2"/>
        <scheme val="minor"/>
      </rPr>
      <t>name</t>
    </r>
    <r>
      <rPr>
        <sz val="11"/>
        <color theme="1"/>
        <rFont val="Aptos Narrow"/>
        <family val="2"/>
        <scheme val="minor"/>
      </rPr>
      <t>, choose where to store it (this workbook or Personal Macro Workbook), and assign a shortcut (optional).</t>
    </r>
  </si>
  <si>
    <r>
      <t>Perform Actions</t>
    </r>
    <r>
      <rPr>
        <sz val="11"/>
        <color theme="1"/>
        <rFont val="Aptos Narrow"/>
        <family val="2"/>
        <scheme val="minor"/>
      </rPr>
      <t>:</t>
    </r>
  </si>
  <si>
    <t>Do the tasks you want automated (formatting, calculations, etc.).</t>
  </si>
  <si>
    <t>Excel records every step.</t>
  </si>
  <si>
    <r>
      <t>Stop Recording</t>
    </r>
    <r>
      <rPr>
        <sz val="11"/>
        <color theme="1"/>
        <rFont val="Aptos Narrow"/>
        <family val="2"/>
        <scheme val="minor"/>
      </rPr>
      <t>:</t>
    </r>
  </si>
  <si>
    <r>
      <t>Save the Macro</t>
    </r>
    <r>
      <rPr>
        <sz val="11"/>
        <color theme="1"/>
        <rFont val="Aptos Narrow"/>
        <family val="2"/>
        <scheme val="minor"/>
      </rPr>
      <t>:</t>
    </r>
  </si>
  <si>
    <r>
      <rPr>
        <sz val="11"/>
        <color theme="1"/>
        <rFont val="Aptos Narrow"/>
        <family val="2"/>
        <scheme val="minor"/>
      </rPr>
      <t xml:space="preserve">Enable Developer Tab: Go to </t>
    </r>
    <r>
      <rPr>
        <sz val="10"/>
        <color theme="1"/>
        <rFont val="Arial Unicode MS"/>
      </rPr>
      <t>File → Options → Customize Ribbon</t>
    </r>
    <r>
      <rPr>
        <sz val="11"/>
        <color theme="1"/>
        <rFont val="Aptos Narrow"/>
        <family val="2"/>
        <scheme val="minor"/>
      </rPr>
      <t xml:space="preserve"> and check Developer.</t>
    </r>
  </si>
  <si>
    <t>Go to Developer → Record Macro.</t>
  </si>
  <si>
    <t>Go to Developer → Stop Recording.</t>
  </si>
  <si>
    <t>Save the workbook as .xlsm (Macro-Enabled Workbook) to keep the macro.</t>
  </si>
  <si>
    <t>Benefits of Recording &amp; Saving Macros</t>
  </si>
  <si>
    <r>
      <t>Saves time</t>
    </r>
    <r>
      <rPr>
        <sz val="11"/>
        <color theme="1"/>
        <rFont val="Aptos Narrow"/>
        <family val="2"/>
        <scheme val="minor"/>
      </rPr>
      <t xml:space="preserve"> – Automates repetitive tasks (like formatting, calculations, reports).</t>
    </r>
  </si>
  <si>
    <r>
      <t>Ensures consistency</t>
    </r>
    <r>
      <rPr>
        <sz val="11"/>
        <color theme="1"/>
        <rFont val="Aptos Narrow"/>
        <family val="2"/>
        <scheme val="minor"/>
      </rPr>
      <t xml:space="preserve"> – Same steps every time, reducing errors.</t>
    </r>
  </si>
  <si>
    <r>
      <t>Easy to use</t>
    </r>
    <r>
      <rPr>
        <sz val="11"/>
        <color theme="1"/>
        <rFont val="Aptos Narrow"/>
        <family val="2"/>
        <scheme val="minor"/>
      </rPr>
      <t xml:space="preserve"> – No coding needed (you just record actions).</t>
    </r>
  </si>
  <si>
    <r>
      <t>Reusability</t>
    </r>
    <r>
      <rPr>
        <sz val="11"/>
        <color theme="1"/>
        <rFont val="Aptos Narrow"/>
        <family val="2"/>
        <scheme val="minor"/>
      </rPr>
      <t xml:space="preserve"> – Once saved, you can run the macro on similar datasets anytime.</t>
    </r>
  </si>
  <si>
    <r>
      <t>Increases productivity</t>
    </r>
    <r>
      <rPr>
        <sz val="11"/>
        <color theme="1"/>
        <rFont val="Aptos Narrow"/>
        <family val="2"/>
        <scheme val="minor"/>
      </rPr>
      <t xml:space="preserve"> – Speeds up work for large datasets and complex tasks.</t>
    </r>
  </si>
  <si>
    <t>Next page</t>
  </si>
  <si>
    <t>Section12-2</t>
  </si>
  <si>
    <t xml:space="preserve"> Edit the recorded macro to add or change functionality</t>
  </si>
  <si>
    <t>Run a macro automatically when a workbook is opened.</t>
  </si>
  <si>
    <t>ctrl+m</t>
  </si>
  <si>
    <t>Size</t>
  </si>
  <si>
    <t>Price (₹)</t>
  </si>
  <si>
    <t>T‑Shirt</t>
  </si>
  <si>
    <t>M</t>
  </si>
  <si>
    <t>Laptop Bag</t>
  </si>
  <si>
    <t>L</t>
  </si>
  <si>
    <t>Sneakers</t>
  </si>
  <si>
    <t>Coffee Mug</t>
  </si>
  <si>
    <t>300ml</t>
  </si>
  <si>
    <t>Jacket</t>
  </si>
  <si>
    <t>XL</t>
  </si>
  <si>
    <t> Explain the different methods of running macros and their use cases</t>
  </si>
  <si>
    <r>
      <t>Use case:</t>
    </r>
    <r>
      <rPr>
        <sz val="11"/>
        <color theme="1"/>
        <rFont val="Aptos Narrow"/>
        <family val="2"/>
        <scheme val="minor"/>
      </rPr>
      <t xml:space="preserve"> For manually running any saved macro.</t>
    </r>
  </si>
  <si>
    <t>Using a Keyboard Shortcut:</t>
  </si>
  <si>
    <r>
      <t>Use case:</t>
    </r>
    <r>
      <rPr>
        <sz val="11"/>
        <color theme="1"/>
        <rFont val="Aptos Narrow"/>
        <family val="2"/>
        <scheme val="minor"/>
      </rPr>
      <t xml:space="preserve"> For quickly executing frequently used macros.</t>
    </r>
  </si>
  <si>
    <t>Assigning to a Button or Shape:</t>
  </si>
  <si>
    <r>
      <t>Use case:</t>
    </r>
    <r>
      <rPr>
        <sz val="11"/>
        <color theme="1"/>
        <rFont val="Aptos Narrow"/>
        <family val="2"/>
        <scheme val="minor"/>
      </rPr>
      <t xml:space="preserve"> For user‑friendly dashboards or when non‑technical users need to run macros easily.</t>
    </r>
  </si>
  <si>
    <t>Automatically When Workbook Opens (Workbook_Open):</t>
  </si>
  <si>
    <r>
      <t>Use case:</t>
    </r>
    <r>
      <rPr>
        <sz val="11"/>
        <color theme="1"/>
        <rFont val="Aptos Narrow"/>
        <family val="2"/>
        <scheme val="minor"/>
      </rPr>
      <t xml:space="preserve"> For tasks that should run every time the file is opened, like auto‑formatting or refreshing data.</t>
    </r>
  </si>
  <si>
    <t xml:space="preserve"> From the VBA Editor (F5):</t>
  </si>
  <si>
    <r>
      <t>Use case:</t>
    </r>
    <r>
      <rPr>
        <sz val="11"/>
        <color theme="1"/>
        <rFont val="Aptos Narrow"/>
        <family val="2"/>
        <scheme val="minor"/>
      </rPr>
      <t xml:space="preserve"> For testing or debugging macros during development.</t>
    </r>
  </si>
  <si>
    <t>Quick Access Toolbar:</t>
  </si>
  <si>
    <r>
      <t>Use case:</t>
    </r>
    <r>
      <rPr>
        <sz val="11"/>
        <color theme="1"/>
        <rFont val="Aptos Narrow"/>
        <family val="2"/>
        <scheme val="minor"/>
      </rPr>
      <t xml:space="preserve"> For one‑click access to commonly used macros.</t>
    </r>
  </si>
  <si>
    <t>From the Developer Tab (Macros → Run):</t>
  </si>
  <si>
    <t xml:space="preserve"> Open the Visual Basic for Applications (VBA) editor</t>
  </si>
  <si>
    <t>Explore the different components of the VBA workspace (e.g., Project Explorer, Code Window)</t>
  </si>
  <si>
    <t xml:space="preserve"> Write a simple VBA script in the editor</t>
  </si>
  <si>
    <t>Hello World</t>
  </si>
  <si>
    <t>Run the VBA script and observe its effects</t>
  </si>
  <si>
    <t>Explain the layout and functionalities of the VBA workspace</t>
  </si>
  <si>
    <t>Project Explorer (Ctrl + R)</t>
  </si>
  <si>
    <r>
      <t>Location:</t>
    </r>
    <r>
      <rPr>
        <sz val="11"/>
        <color theme="1"/>
        <rFont val="Aptos Narrow"/>
        <family val="2"/>
        <scheme val="minor"/>
      </rPr>
      <t xml:space="preserve"> Left side of the editor.</t>
    </r>
  </si>
  <si>
    <r>
      <t>Function:</t>
    </r>
    <r>
      <rPr>
        <sz val="11"/>
        <color theme="1"/>
        <rFont val="Aptos Narrow"/>
        <family val="2"/>
        <scheme val="minor"/>
      </rPr>
      <t xml:space="preserve"> Displays a </t>
    </r>
    <r>
      <rPr>
        <b/>
        <sz val="11"/>
        <color theme="1"/>
        <rFont val="Aptos Narrow"/>
        <family val="2"/>
        <scheme val="minor"/>
      </rPr>
      <t>tree view of all open workbooks</t>
    </r>
    <r>
      <rPr>
        <sz val="11"/>
        <color theme="1"/>
        <rFont val="Aptos Narrow"/>
        <family val="2"/>
        <scheme val="minor"/>
      </rPr>
      <t xml:space="preserve"> and their objects (sheets, modules, forms, ThisWorkbook).</t>
    </r>
  </si>
  <si>
    <r>
      <t>Use:</t>
    </r>
    <r>
      <rPr>
        <sz val="11"/>
        <color theme="1"/>
        <rFont val="Aptos Narrow"/>
        <family val="2"/>
        <scheme val="minor"/>
      </rPr>
      <t xml:space="preserve"> Navigate between different sheets, modules, and user forms quickly.</t>
    </r>
  </si>
  <si>
    <t>Code Window</t>
  </si>
  <si>
    <r>
      <t>Location:</t>
    </r>
    <r>
      <rPr>
        <sz val="11"/>
        <color theme="1"/>
        <rFont val="Aptos Narrow"/>
        <family val="2"/>
        <scheme val="minor"/>
      </rPr>
      <t xml:space="preserve"> Main area in the center.</t>
    </r>
  </si>
  <si>
    <r>
      <t>Function:</t>
    </r>
    <r>
      <rPr>
        <sz val="11"/>
        <color theme="1"/>
        <rFont val="Aptos Narrow"/>
        <family val="2"/>
        <scheme val="minor"/>
      </rPr>
      <t xml:space="preserve"> Where you </t>
    </r>
    <r>
      <rPr>
        <b/>
        <sz val="11"/>
        <color theme="1"/>
        <rFont val="Aptos Narrow"/>
        <family val="2"/>
        <scheme val="minor"/>
      </rPr>
      <t>write, edit, and view VBA code</t>
    </r>
    <r>
      <rPr>
        <sz val="11"/>
        <color theme="1"/>
        <rFont val="Aptos Narrow"/>
        <family val="2"/>
        <scheme val="minor"/>
      </rPr>
      <t>.</t>
    </r>
  </si>
  <si>
    <r>
      <t>Use:</t>
    </r>
    <r>
      <rPr>
        <sz val="11"/>
        <color theme="1"/>
        <rFont val="Aptos Narrow"/>
        <family val="2"/>
        <scheme val="minor"/>
      </rPr>
      <t xml:space="preserve"> Double‑click a sheet, module, or form in Project Explorer to open its code here.</t>
    </r>
  </si>
  <si>
    <t>Properties Window (F4)</t>
  </si>
  <si>
    <r>
      <t>Location:</t>
    </r>
    <r>
      <rPr>
        <sz val="11"/>
        <color theme="1"/>
        <rFont val="Aptos Narrow"/>
        <family val="2"/>
        <scheme val="minor"/>
      </rPr>
      <t xml:space="preserve"> Below the Project Explorer (can be toggled on/off).</t>
    </r>
  </si>
  <si>
    <r>
      <t>Function:</t>
    </r>
    <r>
      <rPr>
        <sz val="11"/>
        <color theme="1"/>
        <rFont val="Aptos Narrow"/>
        <family val="2"/>
        <scheme val="minor"/>
      </rPr>
      <t xml:space="preserve"> Shows and allows you to </t>
    </r>
    <r>
      <rPr>
        <b/>
        <sz val="11"/>
        <color theme="1"/>
        <rFont val="Aptos Narrow"/>
        <family val="2"/>
        <scheme val="minor"/>
      </rPr>
      <t>edit properties</t>
    </r>
    <r>
      <rPr>
        <sz val="11"/>
        <color theme="1"/>
        <rFont val="Aptos Narrow"/>
        <family val="2"/>
        <scheme val="minor"/>
      </rPr>
      <t xml:space="preserve"> of selected objects (e.g., sheet names, form controls).</t>
    </r>
  </si>
  <si>
    <t>Immediate Window (Ctrl + G)</t>
  </si>
  <si>
    <r>
      <t>Location:</t>
    </r>
    <r>
      <rPr>
        <sz val="11"/>
        <color theme="1"/>
        <rFont val="Aptos Narrow"/>
        <family val="2"/>
        <scheme val="minor"/>
      </rPr>
      <t xml:space="preserve"> Bottom of the editor (hidden by default).</t>
    </r>
  </si>
  <si>
    <r>
      <t>Function:</t>
    </r>
    <r>
      <rPr>
        <sz val="11"/>
        <color theme="1"/>
        <rFont val="Aptos Narrow"/>
        <family val="2"/>
        <scheme val="minor"/>
      </rPr>
      <t xml:space="preserve"> Used for </t>
    </r>
    <r>
      <rPr>
        <b/>
        <sz val="11"/>
        <color theme="1"/>
        <rFont val="Aptos Narrow"/>
        <family val="2"/>
        <scheme val="minor"/>
      </rPr>
      <t>testing small snippets of code</t>
    </r>
    <r>
      <rPr>
        <sz val="11"/>
        <color theme="1"/>
        <rFont val="Aptos Narrow"/>
        <family val="2"/>
        <scheme val="minor"/>
      </rPr>
      <t xml:space="preserve"> or </t>
    </r>
    <r>
      <rPr>
        <b/>
        <sz val="11"/>
        <color theme="1"/>
        <rFont val="Aptos Narrow"/>
        <family val="2"/>
        <scheme val="minor"/>
      </rPr>
      <t>debugging</t>
    </r>
    <r>
      <rPr>
        <sz val="11"/>
        <color theme="1"/>
        <rFont val="Aptos Narrow"/>
        <family val="2"/>
        <scheme val="minor"/>
      </rPr>
      <t>.</t>
    </r>
  </si>
  <si>
    <r>
      <t>Use:</t>
    </r>
    <r>
      <rPr>
        <sz val="11"/>
        <color theme="1"/>
        <rFont val="Aptos Narrow"/>
        <family val="2"/>
        <scheme val="minor"/>
      </rPr>
      <t xml:space="preserve"> Type commands like </t>
    </r>
    <r>
      <rPr>
        <sz val="10"/>
        <color theme="1"/>
        <rFont val="Arial Unicode MS"/>
      </rPr>
      <t>?Range("A1").Value</t>
    </r>
    <r>
      <rPr>
        <sz val="11"/>
        <color theme="1"/>
        <rFont val="Aptos Narrow"/>
        <family val="2"/>
        <scheme val="minor"/>
      </rPr>
      <t xml:space="preserve"> to quickly check a value.</t>
    </r>
  </si>
  <si>
    <t>Menu &amp; Toolbar</t>
  </si>
  <si>
    <r>
      <t>Location:</t>
    </r>
    <r>
      <rPr>
        <sz val="11"/>
        <color theme="1"/>
        <rFont val="Aptos Narrow"/>
        <family val="2"/>
        <scheme val="minor"/>
      </rPr>
      <t xml:space="preserve"> Top of the editor.</t>
    </r>
  </si>
  <si>
    <r>
      <t>Function:</t>
    </r>
    <r>
      <rPr>
        <sz val="11"/>
        <color theme="1"/>
        <rFont val="Aptos Narrow"/>
        <family val="2"/>
        <scheme val="minor"/>
      </rPr>
      <t xml:space="preserve"> Provides tools for </t>
    </r>
    <r>
      <rPr>
        <b/>
        <sz val="11"/>
        <color theme="1"/>
        <rFont val="Aptos Narrow"/>
        <family val="2"/>
        <scheme val="minor"/>
      </rPr>
      <t>running macros, inserting modules, debugging code, and managing projects</t>
    </r>
    <r>
      <rPr>
        <sz val="11"/>
        <color theme="1"/>
        <rFont val="Aptos Narrow"/>
        <family val="2"/>
        <scheme val="minor"/>
      </rPr>
      <t>.</t>
    </r>
  </si>
  <si>
    <t>Modules, Forms, and ThisWorkbook</t>
  </si>
  <si>
    <r>
      <t>Modules:</t>
    </r>
    <r>
      <rPr>
        <sz val="11"/>
        <color theme="1"/>
        <rFont val="Aptos Narrow"/>
        <family val="2"/>
        <scheme val="minor"/>
      </rPr>
      <t xml:space="preserve"> Store your macros (Sub procedures).</t>
    </r>
  </si>
  <si>
    <r>
      <t>Forms:</t>
    </r>
    <r>
      <rPr>
        <sz val="11"/>
        <color theme="1"/>
        <rFont val="Aptos Narrow"/>
        <family val="2"/>
        <scheme val="minor"/>
      </rPr>
      <t>Create user-friendly dialog boxes or input forms.</t>
    </r>
  </si>
  <si>
    <t>Research online resources for finding VBA code snippets</t>
  </si>
  <si>
    <t>GitHub &amp; Gists</t>
  </si>
  <si>
    <t>Visual Studio Code Snippet Extensions</t>
  </si>
  <si>
    <t>AnalystCave.com</t>
  </si>
  <si>
    <t>GoSkills VBA Code Library</t>
  </si>
  <si>
    <t>Forums &amp; Community Collections</t>
  </si>
  <si>
    <t xml:space="preserve"> Identify reputable sources for VBA code examples</t>
  </si>
  <si>
    <t>Microsoft Learn &amp; Docs</t>
  </si>
  <si>
    <r>
      <t xml:space="preserve">Best for </t>
    </r>
    <r>
      <rPr>
        <b/>
        <sz val="11"/>
        <color theme="1"/>
        <rFont val="Aptos Narrow"/>
        <family val="2"/>
        <scheme val="minor"/>
      </rPr>
      <t>syntax, function references, and sample codes</t>
    </r>
    <r>
      <rPr>
        <sz val="11"/>
        <color theme="1"/>
        <rFont val="Aptos Narrow"/>
        <family val="2"/>
        <scheme val="minor"/>
      </rPr>
      <t xml:space="preserve"> from Microsoft itself.</t>
    </r>
  </si>
  <si>
    <r>
      <t xml:space="preserve">Well‑structured </t>
    </r>
    <r>
      <rPr>
        <b/>
        <sz val="11"/>
        <color theme="1"/>
        <rFont val="Aptos Narrow"/>
        <family val="2"/>
        <scheme val="minor"/>
      </rPr>
      <t>code examples, templates, and practical macros</t>
    </r>
    <r>
      <rPr>
        <sz val="11"/>
        <color theme="1"/>
        <rFont val="Aptos Narrow"/>
        <family val="2"/>
        <scheme val="minor"/>
      </rPr>
      <t xml:space="preserve"> for Excel.</t>
    </r>
  </si>
  <si>
    <t>Stack Overflow</t>
  </si>
  <si>
    <r>
      <t xml:space="preserve">Great for </t>
    </r>
    <r>
      <rPr>
        <b/>
        <sz val="11"/>
        <color theme="1"/>
        <rFont val="Aptos Narrow"/>
        <family val="2"/>
        <scheme val="minor"/>
      </rPr>
      <t>real-world problem-solving</t>
    </r>
    <r>
      <rPr>
        <sz val="11"/>
        <color theme="1"/>
        <rFont val="Aptos Narrow"/>
        <family val="2"/>
        <scheme val="minor"/>
      </rPr>
      <t xml:space="preserve"> and community‑tested code snippets.</t>
    </r>
  </si>
  <si>
    <t>MrExcel &amp; Excel Forum</t>
  </si>
  <si>
    <r>
      <t xml:space="preserve">Large community of </t>
    </r>
    <r>
      <rPr>
        <b/>
        <sz val="11"/>
        <color theme="1"/>
        <rFont val="Aptos Narrow"/>
        <family val="2"/>
        <scheme val="minor"/>
      </rPr>
      <t>Excel experts sharing macros &amp; solutions</t>
    </r>
    <r>
      <rPr>
        <sz val="11"/>
        <color theme="1"/>
        <rFont val="Aptos Narrow"/>
        <family val="2"/>
        <scheme val="minor"/>
      </rPr>
      <t>.</t>
    </r>
  </si>
  <si>
    <t>GitHub</t>
  </si>
  <si>
    <r>
      <t xml:space="preserve">Search </t>
    </r>
    <r>
      <rPr>
        <b/>
        <sz val="11"/>
        <color theme="1"/>
        <rFont val="Aptos Narrow"/>
        <family val="2"/>
        <scheme val="minor"/>
      </rPr>
      <t>“VBA Excel macros”</t>
    </r>
    <r>
      <rPr>
        <sz val="11"/>
        <color theme="1"/>
        <rFont val="Aptos Narrow"/>
        <family val="2"/>
        <scheme val="minor"/>
      </rPr>
      <t xml:space="preserve"> for </t>
    </r>
    <r>
      <rPr>
        <b/>
        <sz val="11"/>
        <color theme="1"/>
        <rFont val="Aptos Narrow"/>
        <family val="2"/>
        <scheme val="minor"/>
      </rPr>
      <t>ready‑made modules and code libraries</t>
    </r>
  </si>
  <si>
    <t>Copy a VBA code snippet from an online resource and customize it for your needs</t>
  </si>
  <si>
    <t>Test the customized VBA code in your workbook</t>
  </si>
  <si>
    <t> Explain the process of finding, copying, and using VBA code snippets</t>
  </si>
  <si>
    <t>Find the Code</t>
  </si>
  <si>
    <t>Where to search:</t>
  </si>
  <si>
    <r>
      <t>Microsoft Docs</t>
    </r>
    <r>
      <rPr>
        <sz val="11"/>
        <color theme="1"/>
        <rFont val="Aptos Narrow"/>
        <family val="2"/>
        <scheme val="minor"/>
      </rPr>
      <t xml:space="preserve"> (official examples)</t>
    </r>
  </si>
  <si>
    <r>
      <t>Forums</t>
    </r>
    <r>
      <rPr>
        <sz val="11"/>
        <color theme="1"/>
        <rFont val="Aptos Narrow"/>
        <family val="2"/>
        <scheme val="minor"/>
      </rPr>
      <t xml:space="preserve"> (Stack Overflow, MrExcel, ExcelForum)</t>
    </r>
  </si>
  <si>
    <r>
      <t>Tutorial sites</t>
    </r>
    <r>
      <rPr>
        <sz val="11"/>
        <color theme="1"/>
        <rFont val="Aptos Narrow"/>
        <family val="2"/>
        <scheme val="minor"/>
      </rPr>
      <t xml:space="preserve"> (AnalystCave, GoSkills)</t>
    </r>
  </si>
  <si>
    <r>
      <t>GitHub</t>
    </r>
    <r>
      <rPr>
        <sz val="11"/>
        <color theme="1"/>
        <rFont val="Aptos Narrow"/>
        <family val="2"/>
        <scheme val="minor"/>
      </rPr>
      <t xml:space="preserve"> (ready‑to‑use macros)</t>
    </r>
  </si>
  <si>
    <t>What to check:</t>
  </si>
  <si>
    <t>Read the code comments or description.</t>
  </si>
  <si>
    <t>Ensure it matches your Excel version and purpose (e.g., Excel ranges, events, automation).</t>
  </si>
  <si>
    <t>Copy the Code</t>
  </si>
  <si>
    <t>Highlight the code snippet from the source.</t>
  </si>
  <si>
    <r>
      <t xml:space="preserve">Use </t>
    </r>
    <r>
      <rPr>
        <b/>
        <sz val="11"/>
        <color theme="1"/>
        <rFont val="Aptos Narrow"/>
        <family val="2"/>
        <scheme val="minor"/>
      </rPr>
      <t>Ctrl + C</t>
    </r>
    <r>
      <rPr>
        <sz val="11"/>
        <color theme="1"/>
        <rFont val="Aptos Narrow"/>
        <family val="2"/>
        <scheme val="minor"/>
      </rPr>
      <t xml:space="preserve"> (Copy).</t>
    </r>
  </si>
  <si>
    <t>Open VBA Editor</t>
  </si>
  <si>
    <t>Insert a Module</t>
  </si>
  <si>
    <t>A new blank code window appears.</t>
  </si>
  <si>
    <t>Paste the Code</t>
  </si>
  <si>
    <r>
      <t xml:space="preserve">Click inside the new module and press </t>
    </r>
    <r>
      <rPr>
        <b/>
        <sz val="11"/>
        <color theme="1"/>
        <rFont val="Aptos Narrow"/>
        <family val="2"/>
        <scheme val="minor"/>
      </rPr>
      <t>Ctrl + V</t>
    </r>
    <r>
      <rPr>
        <sz val="11"/>
        <color theme="1"/>
        <rFont val="Aptos Narrow"/>
        <family val="2"/>
        <scheme val="minor"/>
      </rPr>
      <t xml:space="preserve"> (Paste).</t>
    </r>
  </si>
  <si>
    <t>Modify:</t>
  </si>
  <si>
    <t>Save as Macro‑Enabled Workbook</t>
  </si>
  <si>
    <t>Run the Macro</t>
  </si>
  <si>
    <r>
      <t xml:space="preserve">If it’s an event macro (like </t>
    </r>
    <r>
      <rPr>
        <sz val="10"/>
        <color theme="1"/>
        <rFont val="Arial Unicode MS"/>
      </rPr>
      <t>Workbook_Open</t>
    </r>
    <r>
      <rPr>
        <sz val="11"/>
        <color theme="1"/>
        <rFont val="Aptos Narrow"/>
        <family val="2"/>
        <scheme val="minor"/>
      </rPr>
      <t>), it will run when the workbook opens.</t>
    </r>
  </si>
  <si>
    <r>
      <t xml:space="preserve">In Excel, press </t>
    </r>
    <r>
      <rPr>
        <b/>
        <sz val="10"/>
        <color theme="1"/>
        <rFont val="Arial Unicode MS"/>
      </rPr>
      <t>Alt + F11</t>
    </r>
    <r>
      <rPr>
        <sz val="11"/>
        <color theme="1"/>
        <rFont val="Aptos Narrow"/>
        <family val="2"/>
        <scheme val="minor"/>
      </rPr>
      <t xml:space="preserve"> to open the VBA editor.</t>
    </r>
  </si>
  <si>
    <r>
      <t xml:space="preserve">In the Project Explorer (left side), right‑click your workbook → </t>
    </r>
    <r>
      <rPr>
        <b/>
        <sz val="11"/>
        <color theme="1"/>
        <rFont val="Aptos Narrow"/>
        <family val="2"/>
        <scheme val="minor"/>
      </rPr>
      <t>Insert → Module</t>
    </r>
    <r>
      <rPr>
        <sz val="11"/>
        <color theme="1"/>
        <rFont val="Aptos Narrow"/>
        <family val="2"/>
        <scheme val="minor"/>
      </rPr>
      <t>.</t>
    </r>
  </si>
  <si>
    <r>
      <rPr>
        <sz val="11"/>
        <color theme="1"/>
        <rFont val="Aptos Narrow"/>
        <family val="2"/>
        <scheme val="minor"/>
      </rPr>
      <t xml:space="preserve">Sheet names (e.g., </t>
    </r>
    <r>
      <rPr>
        <sz val="10"/>
        <color theme="1"/>
        <rFont val="Arial Unicode MS"/>
      </rPr>
      <t>"Sheet1"</t>
    </r>
    <r>
      <rPr>
        <sz val="11"/>
        <color theme="1"/>
        <rFont val="Aptos Narrow"/>
        <family val="2"/>
        <scheme val="minor"/>
      </rPr>
      <t xml:space="preserve"> → </t>
    </r>
    <r>
      <rPr>
        <sz val="10"/>
        <color theme="1"/>
        <rFont val="Arial Unicode MS"/>
      </rPr>
      <t>"Data"</t>
    </r>
    <r>
      <rPr>
        <sz val="11"/>
        <color theme="1"/>
        <rFont val="Aptos Narrow"/>
        <family val="2"/>
        <scheme val="minor"/>
      </rPr>
      <t>).</t>
    </r>
  </si>
  <si>
    <r>
      <rPr>
        <sz val="11"/>
        <color theme="1"/>
        <rFont val="Aptos Narrow"/>
        <family val="2"/>
        <scheme val="minor"/>
      </rPr>
      <t xml:space="preserve">Ranges (e.g., </t>
    </r>
    <r>
      <rPr>
        <sz val="10"/>
        <color theme="1"/>
        <rFont val="Arial Unicode MS"/>
      </rPr>
      <t>A1:B10</t>
    </r>
    <r>
      <rPr>
        <sz val="11"/>
        <color theme="1"/>
        <rFont val="Aptos Narrow"/>
        <family val="2"/>
        <scheme val="minor"/>
      </rPr>
      <t xml:space="preserve"> → your actual data range).</t>
    </r>
  </si>
  <si>
    <r>
      <t xml:space="preserve">Go to </t>
    </r>
    <r>
      <rPr>
        <b/>
        <sz val="11"/>
        <color theme="1"/>
        <rFont val="Aptos Narrow"/>
        <family val="2"/>
        <scheme val="minor"/>
      </rPr>
      <t>File → Save As</t>
    </r>
    <r>
      <rPr>
        <sz val="11"/>
        <color theme="1"/>
        <rFont val="Aptos Narrow"/>
        <family val="2"/>
        <scheme val="minor"/>
      </rPr>
      <t xml:space="preserve"> → Select Excel Macro‑Enabled Workbook (.xlsm).</t>
    </r>
  </si>
  <si>
    <r>
      <t xml:space="preserve">Back in Excel, press </t>
    </r>
    <r>
      <rPr>
        <b/>
        <sz val="11"/>
        <color theme="1"/>
        <rFont val="Aptos Narrow"/>
        <family val="2"/>
        <scheme val="minor"/>
      </rPr>
      <t>Alt + F8</t>
    </r>
    <r>
      <rPr>
        <sz val="11"/>
        <color theme="1"/>
        <rFont val="Aptos Narrow"/>
        <family val="2"/>
        <scheme val="minor"/>
      </rPr>
      <t>, select the macro, and click Run.</t>
    </r>
  </si>
  <si>
    <t>Sneha Singh</t>
  </si>
  <si>
    <t>Mohan Verma</t>
  </si>
  <si>
    <t>Rahul Lalwani</t>
  </si>
  <si>
    <t>Hina Anwar</t>
  </si>
  <si>
    <t>Ritu Sinha</t>
  </si>
  <si>
    <t>Pihu Kothare</t>
  </si>
  <si>
    <t>Prerna Tiwari</t>
  </si>
  <si>
    <t>Headphone</t>
  </si>
  <si>
    <t>Ipad</t>
  </si>
  <si>
    <t>Logical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</si>
</sst>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6" formatCode="&quot;$&quot;#,##0_);[Red]\(&quot;$&quot;#,##0\)"/>
    <numFmt numFmtId="44" formatCode="_(&quot;$&quot;* #,##0.00_);_(&quot;$&quot;* \(#,##0.00\);_(&quot;$&quot;* &quot;-&quot;??_);_(@_)"/>
    <numFmt numFmtId="164" formatCode="[$₹-860]\ #,##0"/>
    <numFmt numFmtId="165" formatCode="_ [$₹-860]\ * #,##0.00_ ;_ [$₹-860]\ * \-#,##0.00_ ;_ [$₹-860]\ * &quot;-&quot;??_ ;_ @_ "/>
    <numFmt numFmtId="166" formatCode="_ [$₹-449]\ * #,##0.00_ ;_ [$₹-449]\ * \-#,##0.00_ ;_ [$₹-449]\ * &quot;-&quot;??_ ;_ @_ "/>
    <numFmt numFmtId="167" formatCode="\₹#,##0,&quot;K&quot;"/>
    <numFmt numFmtId="168" formatCode="#,##0;[Red]\-#,##0"/>
    <numFmt numFmtId="169" formatCode="mm/dd/yyyy\ hh:mm:ss"/>
    <numFmt numFmtId="170" formatCode="&quot;$&quot;#,##0.00"/>
    <numFmt numFmtId="171" formatCode="&quot;$&quot;#,##0"/>
    <numFmt numFmtId="172" formatCode="_ [$₹-4009]\ * #,##0_ ;_ [$₹-4009]\ * \-#,##0_ ;_ [$₹-4009]\ * &quot;-&quot;??_ ;_ @_ "/>
    <numFmt numFmtId="173" formatCode="[$₹-4009]\ #,##0.00"/>
    <numFmt numFmtId="174" formatCode="[$₹-4009]\ #,##0"/>
    <numFmt numFmtId="175" formatCode="_(&quot;$&quot;* #,##0_);_(&quot;$&quot;* \(#,##0\);_(&quot;$&quot;* &quot;-&quot;??_);_(@_)"/>
    <numFmt numFmtId="176" formatCode="?#,##0"/>
  </numFmts>
  <fonts count="73">
    <font>
      <sz val="11"/>
      <color theme="1"/>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sz val="11"/>
      <color theme="1"/>
      <name val="Aptos Narrow"/>
      <family val="2"/>
      <scheme val="minor"/>
    </font>
    <font>
      <b/>
      <sz val="11"/>
      <color theme="0"/>
      <name val="Aptos Narrow"/>
      <family val="2"/>
      <scheme val="minor"/>
    </font>
    <font>
      <sz val="11"/>
      <color rgb="FF000000"/>
      <name val="Arial"/>
      <family val="2"/>
    </font>
    <font>
      <b/>
      <sz val="11"/>
      <color rgb="FF000000"/>
      <name val="Arial"/>
      <family val="2"/>
    </font>
    <font>
      <sz val="13.5"/>
      <color theme="0"/>
      <name val="Aptos Narrow"/>
      <family val="2"/>
      <scheme val="minor"/>
    </font>
    <font>
      <strike/>
      <sz val="11"/>
      <color theme="0"/>
      <name val="Aptos Narrow"/>
      <family val="2"/>
      <scheme val="minor"/>
    </font>
    <font>
      <b/>
      <i/>
      <sz val="11"/>
      <color theme="0"/>
      <name val="Aptos Narrow"/>
      <family val="2"/>
      <scheme val="minor"/>
    </font>
    <font>
      <b/>
      <sz val="12"/>
      <color theme="1"/>
      <name val="Aptos Narrow"/>
      <family val="2"/>
      <scheme val="minor"/>
    </font>
    <font>
      <sz val="12"/>
      <color theme="1"/>
      <name val="Aptos Narrow"/>
      <family val="2"/>
      <scheme val="minor"/>
    </font>
    <font>
      <b/>
      <sz val="14"/>
      <color theme="1"/>
      <name val="Aptos Narrow"/>
      <family val="2"/>
      <scheme val="minor"/>
    </font>
    <font>
      <sz val="14"/>
      <color theme="1"/>
      <name val="Aptos Narrow"/>
      <family val="2"/>
      <scheme val="minor"/>
    </font>
    <font>
      <b/>
      <sz val="11"/>
      <color theme="1"/>
      <name val="Arial Black"/>
      <family val="2"/>
    </font>
    <font>
      <sz val="11"/>
      <color theme="1"/>
      <name val="Century"/>
      <family val="1"/>
    </font>
    <font>
      <sz val="11"/>
      <color theme="1"/>
      <name val="Lucida Handwriting"/>
      <family val="4"/>
    </font>
    <font>
      <sz val="11"/>
      <color theme="1"/>
      <name val="Kristen ITC"/>
      <family val="4"/>
    </font>
    <font>
      <sz val="11"/>
      <color theme="1"/>
      <name val="Bahnschrift Condensed"/>
      <family val="2"/>
    </font>
    <font>
      <sz val="11"/>
      <color theme="0"/>
      <name val="Segoe UI Black"/>
      <family val="2"/>
    </font>
    <font>
      <sz val="12"/>
      <color theme="1"/>
      <name val="Mistral"/>
      <family val="4"/>
    </font>
    <font>
      <sz val="11"/>
      <color theme="0"/>
      <name val="Tempus Sans ITC"/>
      <family val="5"/>
    </font>
    <font>
      <b/>
      <sz val="11"/>
      <color theme="0"/>
      <name val="Arial"/>
      <family val="2"/>
    </font>
    <font>
      <b/>
      <sz val="11"/>
      <color rgb="FF000000"/>
      <name val="Arial Black"/>
      <family val="2"/>
    </font>
    <font>
      <b/>
      <sz val="14"/>
      <color rgb="FF000000"/>
      <name val="Bahnschrift"/>
      <family val="2"/>
    </font>
    <font>
      <b/>
      <sz val="14"/>
      <color theme="1"/>
      <name val="Bahnschrift"/>
      <family val="2"/>
    </font>
    <font>
      <b/>
      <sz val="12"/>
      <color rgb="FF000000"/>
      <name val="Arial"/>
      <family val="2"/>
    </font>
    <font>
      <b/>
      <sz val="14"/>
      <color rgb="FF000000"/>
      <name val="Arial"/>
      <family val="2"/>
    </font>
    <font>
      <b/>
      <sz val="18"/>
      <color theme="0"/>
      <name val="Aptos Narrow"/>
      <family val="2"/>
      <scheme val="minor"/>
    </font>
    <font>
      <b/>
      <sz val="12"/>
      <color theme="0"/>
      <name val="Arial"/>
      <family val="2"/>
    </font>
    <font>
      <b/>
      <sz val="12"/>
      <color theme="0"/>
      <name val="Aptos Narrow"/>
      <family val="2"/>
      <scheme val="minor"/>
    </font>
    <font>
      <b/>
      <sz val="14"/>
      <color theme="0"/>
      <name val="Aptos Narrow"/>
      <family val="2"/>
    </font>
    <font>
      <sz val="11"/>
      <color theme="8" tint="-0.249977111117893"/>
      <name val="Aptos Narrow"/>
      <family val="2"/>
      <scheme val="minor"/>
    </font>
    <font>
      <b/>
      <sz val="11"/>
      <color theme="8" tint="-0.249977111117893"/>
      <name val="Cascadia Code"/>
      <family val="3"/>
    </font>
    <font>
      <i/>
      <sz val="11"/>
      <color theme="7" tint="-0.499984740745262"/>
      <name val="Kristen ITC"/>
      <family val="4"/>
    </font>
    <font>
      <b/>
      <sz val="12"/>
      <color theme="3" tint="0.89999084444715716"/>
      <name val="Arial"/>
      <family val="2"/>
    </font>
    <font>
      <sz val="11"/>
      <color theme="3" tint="0.89999084444715716"/>
      <name val="Aptos Narrow"/>
      <family val="2"/>
      <scheme val="minor"/>
    </font>
    <font>
      <sz val="11"/>
      <color rgb="FFFF0000"/>
      <name val="Aptos Narrow"/>
      <family val="2"/>
      <scheme val="minor"/>
    </font>
    <font>
      <sz val="11"/>
      <color rgb="FFFF0000"/>
      <name val="Arial"/>
      <family val="2"/>
    </font>
    <font>
      <b/>
      <sz val="11"/>
      <color rgb="FFFF0000"/>
      <name val="Aptos Narrow"/>
      <family val="2"/>
      <scheme val="minor"/>
    </font>
    <font>
      <sz val="11"/>
      <color theme="3" tint="0.499984740745262"/>
      <name val="Aptos Narrow"/>
      <family val="2"/>
      <scheme val="minor"/>
    </font>
    <font>
      <sz val="11"/>
      <color theme="3" tint="0.499984740745262"/>
      <name val="Arial"/>
      <family val="2"/>
    </font>
    <font>
      <b/>
      <sz val="11"/>
      <color theme="3" tint="0.499984740745262"/>
      <name val="Aptos Narrow"/>
      <family val="2"/>
      <scheme val="minor"/>
    </font>
    <font>
      <sz val="11"/>
      <color theme="4" tint="-0.499984740745262"/>
      <name val="Aptos Narrow"/>
      <family val="2"/>
      <scheme val="minor"/>
    </font>
    <font>
      <sz val="11"/>
      <color theme="4" tint="-0.499984740745262"/>
      <name val="Arial"/>
      <family val="2"/>
    </font>
    <font>
      <sz val="11"/>
      <color theme="5" tint="-0.249977111117893"/>
      <name val="Aptos Narrow"/>
      <family val="2"/>
      <scheme val="minor"/>
    </font>
    <font>
      <sz val="11"/>
      <color theme="5" tint="-0.249977111117893"/>
      <name val="Arial"/>
      <family val="2"/>
    </font>
    <font>
      <sz val="11"/>
      <color theme="8" tint="-0.499984740745262"/>
      <name val="Aptos Narrow"/>
      <family val="2"/>
      <scheme val="minor"/>
    </font>
    <font>
      <sz val="11"/>
      <color theme="6" tint="-0.499984740745262"/>
      <name val="Aptos Narrow"/>
      <family val="2"/>
      <scheme val="minor"/>
    </font>
    <font>
      <sz val="12"/>
      <color theme="0"/>
      <name val="Arial"/>
      <family val="2"/>
    </font>
    <font>
      <sz val="11"/>
      <color theme="0"/>
      <name val="Arial"/>
      <family val="2"/>
    </font>
    <font>
      <sz val="11"/>
      <color theme="3" tint="9.9978637043366805E-2"/>
      <name val="Arial"/>
      <family val="2"/>
    </font>
    <font>
      <sz val="11"/>
      <color theme="3" tint="9.9978637043366805E-2"/>
      <name val="Aptos Narrow"/>
      <family val="2"/>
      <scheme val="minor"/>
    </font>
    <font>
      <i/>
      <sz val="11"/>
      <color theme="1"/>
      <name val="Aptos Narrow"/>
      <family val="2"/>
      <scheme val="minor"/>
    </font>
    <font>
      <sz val="10"/>
      <color theme="1"/>
      <name val="Arial Unicode MS"/>
    </font>
    <font>
      <sz val="10"/>
      <color theme="0"/>
      <name val="Arial Unicode MS"/>
    </font>
    <font>
      <u/>
      <sz val="11"/>
      <color theme="10"/>
      <name val="Aptos Narrow"/>
      <family val="2"/>
      <scheme val="minor"/>
    </font>
    <font>
      <b/>
      <i/>
      <sz val="11"/>
      <color rgb="FF000000"/>
      <name val="Arial"/>
      <family val="2"/>
    </font>
    <font>
      <b/>
      <i/>
      <sz val="11"/>
      <color theme="1"/>
      <name val="Aptos Narrow"/>
      <family val="2"/>
      <scheme val="minor"/>
    </font>
    <font>
      <b/>
      <sz val="16"/>
      <color theme="1"/>
      <name val="Aptos Narrow"/>
      <family val="2"/>
      <scheme val="minor"/>
    </font>
    <font>
      <b/>
      <sz val="16"/>
      <color theme="1"/>
      <name val="Cascadia Code"/>
      <family val="3"/>
    </font>
    <font>
      <sz val="11"/>
      <color theme="1"/>
      <name val="Cascadia Code"/>
      <family val="3"/>
    </font>
    <font>
      <b/>
      <sz val="18"/>
      <color theme="1"/>
      <name val="Aptos Narrow"/>
      <family val="2"/>
      <scheme val="minor"/>
    </font>
    <font>
      <sz val="11"/>
      <color theme="1"/>
      <name val="Segoe UI"/>
      <family val="2"/>
    </font>
    <font>
      <sz val="11"/>
      <color theme="1"/>
      <name val="Segoe UI"/>
      <family val="2"/>
    </font>
    <font>
      <b/>
      <sz val="20"/>
      <color theme="1"/>
      <name val="Aptos Narrow"/>
      <family val="2"/>
      <scheme val="minor"/>
    </font>
    <font>
      <b/>
      <sz val="22"/>
      <color theme="1"/>
      <name val="Aptos Narrow"/>
      <family val="2"/>
      <scheme val="minor"/>
    </font>
    <font>
      <b/>
      <sz val="12"/>
      <color rgb="FF0000FF"/>
      <name val="Arial"/>
      <family val="2"/>
    </font>
    <font>
      <b/>
      <sz val="12"/>
      <color rgb="FF0000FF"/>
      <name val="Aptos Narrow"/>
      <family val="2"/>
      <scheme val="minor"/>
    </font>
    <font>
      <b/>
      <sz val="12"/>
      <color theme="1"/>
      <name val="Arial"/>
      <family val="2"/>
    </font>
    <font>
      <sz val="11"/>
      <color rgb="FF000000"/>
      <name val="Aptos Narrow"/>
      <family val="2"/>
    </font>
    <font>
      <b/>
      <sz val="10"/>
      <color theme="1"/>
      <name val="Arial Unicode MS"/>
    </font>
  </fonts>
  <fills count="71">
    <fill>
      <patternFill patternType="none"/>
    </fill>
    <fill>
      <patternFill patternType="gray125"/>
    </fill>
    <fill>
      <patternFill patternType="solid">
        <fgColor theme="4" tint="0.79998168889431442"/>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1" tint="0.249977111117893"/>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2" tint="-0.89999084444715716"/>
        <bgColor indexed="64"/>
      </patternFill>
    </fill>
    <fill>
      <patternFill patternType="solid">
        <fgColor theme="3" tint="0.749992370372631"/>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rgb="FFA3DBFF"/>
        <bgColor indexed="64"/>
      </patternFill>
    </fill>
    <fill>
      <patternFill patternType="solid">
        <fgColor rgb="FF909EE6"/>
        <bgColor indexed="64"/>
      </patternFill>
    </fill>
    <fill>
      <patternFill patternType="solid">
        <fgColor rgb="FFF6C3FF"/>
        <bgColor indexed="64"/>
      </patternFill>
    </fill>
    <fill>
      <patternFill patternType="solid">
        <fgColor theme="2" tint="-9.9978637043366805E-2"/>
        <bgColor indexed="64"/>
      </patternFill>
    </fill>
    <fill>
      <patternFill patternType="solid">
        <fgColor rgb="FFC189F7"/>
        <bgColor indexed="64"/>
      </patternFill>
    </fill>
    <fill>
      <patternFill patternType="solid">
        <fgColor rgb="FFFF0000"/>
        <bgColor indexed="64"/>
      </patternFill>
    </fill>
    <fill>
      <patternFill patternType="solid">
        <fgColor theme="5"/>
        <bgColor indexed="64"/>
      </patternFill>
    </fill>
    <fill>
      <patternFill patternType="solid">
        <fgColor rgb="FFFF7474"/>
        <bgColor indexed="64"/>
      </patternFill>
    </fill>
    <fill>
      <patternFill patternType="solid">
        <fgColor rgb="FFDC3939"/>
        <bgColor indexed="64"/>
      </patternFill>
    </fill>
    <fill>
      <patternFill patternType="solid">
        <fgColor rgb="FFFFC6C6"/>
        <bgColor indexed="64"/>
      </patternFill>
    </fill>
    <fill>
      <patternFill patternType="solid">
        <fgColor rgb="FFFFCE3C"/>
        <bgColor indexed="64"/>
      </patternFill>
    </fill>
    <fill>
      <patternFill patternType="solid">
        <fgColor rgb="FF227ACB"/>
        <bgColor indexed="64"/>
      </patternFill>
    </fill>
    <fill>
      <patternFill patternType="solid">
        <fgColor rgb="FFC5D3FF"/>
        <bgColor indexed="64"/>
      </patternFill>
    </fill>
    <fill>
      <patternFill patternType="solid">
        <fgColor rgb="FF76E3FF"/>
        <bgColor indexed="64"/>
      </patternFill>
    </fill>
    <fill>
      <patternFill patternType="solid">
        <fgColor rgb="FF6373BA"/>
        <bgColor indexed="64"/>
      </patternFill>
    </fill>
    <fill>
      <patternFill patternType="solid">
        <fgColor rgb="FFD4D4D4"/>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rgb="FFC00000"/>
        <bgColor indexed="64"/>
      </patternFill>
    </fill>
    <fill>
      <patternFill patternType="solid">
        <fgColor rgb="FF7CEB99"/>
        <bgColor indexed="64"/>
      </patternFill>
    </fill>
    <fill>
      <patternFill patternType="solid">
        <fgColor rgb="FF00B0F0"/>
        <bgColor indexed="64"/>
      </patternFill>
    </fill>
    <fill>
      <patternFill patternType="solid">
        <fgColor rgb="FFC8C8FF"/>
        <bgColor indexed="64"/>
      </patternFill>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9" fontId="4" fillId="0" borderId="0" applyFont="0" applyFill="0" applyBorder="0" applyAlignment="0" applyProtection="0"/>
    <xf numFmtId="0" fontId="57" fillId="0" borderId="0" applyNumberFormat="0" applyFill="0" applyBorder="0" applyAlignment="0" applyProtection="0"/>
    <xf numFmtId="44" fontId="4" fillId="0" borderId="0" applyFont="0" applyFill="0" applyBorder="0" applyAlignment="0" applyProtection="0"/>
  </cellStyleXfs>
  <cellXfs count="446">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3" fontId="0" fillId="0" borderId="0" xfId="0" applyNumberFormat="1" applyAlignment="1">
      <alignment vertical="center" wrapText="1"/>
    </xf>
    <xf numFmtId="0" fontId="0" fillId="2" borderId="0" xfId="0" applyFill="1"/>
    <xf numFmtId="3" fontId="0" fillId="2" borderId="0" xfId="0" applyNumberFormat="1" applyFill="1"/>
    <xf numFmtId="0" fontId="0" fillId="3" borderId="0" xfId="0" applyFill="1"/>
    <xf numFmtId="3" fontId="0" fillId="3" borderId="0" xfId="0" applyNumberFormat="1" applyFill="1"/>
    <xf numFmtId="0" fontId="0" fillId="4" borderId="0" xfId="0" applyFill="1"/>
    <xf numFmtId="3" fontId="0" fillId="4" borderId="0" xfId="0" applyNumberFormat="1" applyFill="1"/>
    <xf numFmtId="0" fontId="2" fillId="5" borderId="0" xfId="0" applyFont="1" applyFill="1"/>
    <xf numFmtId="0" fontId="0" fillId="6" borderId="0" xfId="0" quotePrefix="1" applyFill="1" applyAlignment="1">
      <alignment horizontal="left"/>
    </xf>
    <xf numFmtId="0" fontId="0" fillId="6" borderId="0" xfId="0" applyFill="1"/>
    <xf numFmtId="0" fontId="0" fillId="7" borderId="0" xfId="0" applyFill="1"/>
    <xf numFmtId="3" fontId="0" fillId="7" borderId="0" xfId="0" applyNumberFormat="1" applyFill="1"/>
    <xf numFmtId="0" fontId="0" fillId="8" borderId="0" xfId="0" applyFill="1"/>
    <xf numFmtId="0" fontId="0" fillId="0" borderId="0" xfId="0" applyAlignment="1">
      <alignment wrapText="1"/>
    </xf>
    <xf numFmtId="0" fontId="2" fillId="9" borderId="0" xfId="0" applyFont="1" applyFill="1"/>
    <xf numFmtId="0" fontId="2" fillId="9" borderId="0" xfId="0" applyFont="1" applyFill="1" applyAlignment="1">
      <alignment wrapText="1"/>
    </xf>
    <xf numFmtId="0" fontId="0" fillId="10" borderId="0" xfId="0" applyFill="1"/>
    <xf numFmtId="0" fontId="0" fillId="11" borderId="0" xfId="0" applyFill="1"/>
    <xf numFmtId="0" fontId="1" fillId="11" borderId="0" xfId="0" applyFont="1" applyFill="1"/>
    <xf numFmtId="0" fontId="0" fillId="0" borderId="0" xfId="0" quotePrefix="1" applyAlignment="1">
      <alignment horizontal="left"/>
    </xf>
    <xf numFmtId="0" fontId="1" fillId="0" borderId="0" xfId="0" applyFont="1"/>
    <xf numFmtId="0" fontId="7" fillId="12" borderId="0" xfId="0" applyFont="1" applyFill="1"/>
    <xf numFmtId="0" fontId="1" fillId="12" borderId="0" xfId="0" applyFont="1" applyFill="1"/>
    <xf numFmtId="0" fontId="0" fillId="12" borderId="0" xfId="0" applyFill="1"/>
    <xf numFmtId="0" fontId="1" fillId="13" borderId="0" xfId="0" applyFont="1" applyFill="1" applyAlignment="1">
      <alignment horizontal="center" vertical="center" wrapText="1"/>
    </xf>
    <xf numFmtId="0" fontId="0" fillId="13" borderId="0" xfId="0" applyFill="1" applyAlignment="1">
      <alignment vertical="center" wrapText="1"/>
    </xf>
    <xf numFmtId="0" fontId="0" fillId="14" borderId="0" xfId="0" applyFill="1"/>
    <xf numFmtId="0" fontId="0" fillId="15" borderId="0" xfId="0" applyFill="1"/>
    <xf numFmtId="0" fontId="0" fillId="16" borderId="0" xfId="0" applyFill="1"/>
    <xf numFmtId="0" fontId="0" fillId="17" borderId="0" xfId="0" applyFill="1"/>
    <xf numFmtId="0" fontId="2" fillId="18" borderId="0" xfId="0" applyFont="1" applyFill="1"/>
    <xf numFmtId="0" fontId="1" fillId="19" borderId="0" xfId="0" quotePrefix="1" applyFont="1" applyFill="1" applyAlignment="1">
      <alignment horizontal="left"/>
    </xf>
    <xf numFmtId="0" fontId="0" fillId="19" borderId="0" xfId="0" applyFill="1"/>
    <xf numFmtId="0" fontId="1" fillId="19" borderId="0" xfId="0" applyFont="1" applyFill="1"/>
    <xf numFmtId="0" fontId="0" fillId="19" borderId="0" xfId="0" applyFill="1" applyAlignment="1">
      <alignment horizontal="left" vertical="center" indent="1"/>
    </xf>
    <xf numFmtId="0" fontId="0" fillId="20" borderId="0" xfId="0" applyFill="1"/>
    <xf numFmtId="0" fontId="2" fillId="21" borderId="0" xfId="0" applyFont="1" applyFill="1"/>
    <xf numFmtId="0" fontId="5" fillId="22" borderId="0" xfId="0" applyFont="1" applyFill="1"/>
    <xf numFmtId="0" fontId="2" fillId="22" borderId="0" xfId="0" applyFont="1" applyFill="1"/>
    <xf numFmtId="0" fontId="8" fillId="22" borderId="0" xfId="0" applyFont="1" applyFill="1" applyAlignment="1">
      <alignment vertical="center"/>
    </xf>
    <xf numFmtId="164" fontId="0" fillId="0" borderId="0" xfId="0" applyNumberFormat="1" applyAlignment="1">
      <alignment vertical="center" wrapText="1"/>
    </xf>
    <xf numFmtId="0" fontId="2" fillId="23" borderId="0" xfId="0" applyFont="1" applyFill="1"/>
    <xf numFmtId="0" fontId="9" fillId="23" borderId="0" xfId="0" applyFont="1" applyFill="1"/>
    <xf numFmtId="46" fontId="2" fillId="23" borderId="0" xfId="0" applyNumberFormat="1" applyFont="1" applyFill="1"/>
    <xf numFmtId="0" fontId="2" fillId="23" borderId="0" xfId="0" quotePrefix="1" applyFont="1" applyFill="1" applyAlignment="1">
      <alignment horizontal="left"/>
    </xf>
    <xf numFmtId="9" fontId="2" fillId="23" borderId="0" xfId="0" applyNumberFormat="1" applyFont="1" applyFill="1"/>
    <xf numFmtId="10" fontId="2" fillId="23" borderId="0" xfId="0" applyNumberFormat="1" applyFont="1" applyFill="1"/>
    <xf numFmtId="164" fontId="0" fillId="0" borderId="0" xfId="0" applyNumberFormat="1"/>
    <xf numFmtId="9" fontId="0" fillId="0" borderId="0" xfId="1" applyFont="1"/>
    <xf numFmtId="0" fontId="5" fillId="22" borderId="0" xfId="0" applyFont="1" applyFill="1" applyAlignment="1">
      <alignment horizontal="left" vertical="center"/>
    </xf>
    <xf numFmtId="9" fontId="2" fillId="22" borderId="0" xfId="1" applyFont="1" applyFill="1"/>
    <xf numFmtId="0" fontId="7" fillId="24" borderId="0" xfId="0" quotePrefix="1" applyFont="1" applyFill="1" applyAlignment="1">
      <alignment horizontal="left" vertical="center" indent="1"/>
    </xf>
    <xf numFmtId="0" fontId="1" fillId="24" borderId="0" xfId="0" applyFont="1" applyFill="1"/>
    <xf numFmtId="0" fontId="0" fillId="24" borderId="0" xfId="0" applyFill="1"/>
    <xf numFmtId="9" fontId="0" fillId="24" borderId="0" xfId="1" applyFont="1" applyFill="1"/>
    <xf numFmtId="0" fontId="2" fillId="25" borderId="0" xfId="0" applyFont="1" applyFill="1"/>
    <xf numFmtId="0" fontId="5" fillId="25" borderId="0" xfId="0" quotePrefix="1" applyFont="1" applyFill="1" applyAlignment="1">
      <alignment horizontal="left"/>
    </xf>
    <xf numFmtId="0" fontId="5" fillId="25" borderId="0" xfId="0" applyFont="1" applyFill="1"/>
    <xf numFmtId="0" fontId="2" fillId="26" borderId="0" xfId="0" applyFont="1" applyFill="1"/>
    <xf numFmtId="0" fontId="10" fillId="26" borderId="0" xfId="0" applyFont="1" applyFill="1"/>
    <xf numFmtId="0" fontId="2" fillId="26" borderId="0" xfId="0" quotePrefix="1" applyFont="1" applyFill="1" applyAlignment="1">
      <alignment horizontal="left"/>
    </xf>
    <xf numFmtId="0" fontId="2" fillId="26" borderId="0" xfId="0" applyFont="1" applyFill="1" applyAlignment="1">
      <alignment vertical="center" wrapText="1"/>
    </xf>
    <xf numFmtId="165" fontId="0" fillId="0" borderId="0" xfId="0" applyNumberFormat="1" applyAlignment="1">
      <alignment vertical="center" wrapText="1"/>
    </xf>
    <xf numFmtId="0" fontId="1" fillId="11" borderId="0" xfId="0" applyFont="1" applyFill="1" applyAlignment="1">
      <alignment horizontal="center" vertical="center" wrapText="1"/>
    </xf>
    <xf numFmtId="165" fontId="0" fillId="11" borderId="0" xfId="0" applyNumberFormat="1" applyFill="1" applyAlignment="1">
      <alignment vertical="center" wrapText="1"/>
    </xf>
    <xf numFmtId="0" fontId="6" fillId="11" borderId="0" xfId="0" applyFont="1" applyFill="1" applyAlignment="1">
      <alignment horizontal="left" vertical="center" indent="1"/>
    </xf>
    <xf numFmtId="166" fontId="0" fillId="0" borderId="0" xfId="0" applyNumberFormat="1" applyAlignment="1">
      <alignment vertical="center" wrapText="1"/>
    </xf>
    <xf numFmtId="0" fontId="6" fillId="7" borderId="0" xfId="0" applyFont="1" applyFill="1" applyAlignment="1">
      <alignment horizontal="left" vertical="center" indent="1"/>
    </xf>
    <xf numFmtId="165" fontId="0" fillId="7" borderId="0" xfId="0" applyNumberFormat="1" applyFill="1" applyAlignment="1">
      <alignment vertical="center" wrapText="1"/>
    </xf>
    <xf numFmtId="0" fontId="7" fillId="3" borderId="0" xfId="0" applyFont="1" applyFill="1"/>
    <xf numFmtId="0" fontId="1" fillId="3" borderId="0" xfId="0" applyFont="1" applyFill="1"/>
    <xf numFmtId="0" fontId="13" fillId="3" borderId="0" xfId="0" applyFont="1" applyFill="1"/>
    <xf numFmtId="0" fontId="14" fillId="0" borderId="0" xfId="0" applyFont="1"/>
    <xf numFmtId="0" fontId="15" fillId="16" borderId="0" xfId="0" applyFont="1" applyFill="1"/>
    <xf numFmtId="0" fontId="16" fillId="29" borderId="0" xfId="0" applyFont="1" applyFill="1"/>
    <xf numFmtId="0" fontId="17" fillId="30" borderId="0" xfId="0" applyFont="1" applyFill="1"/>
    <xf numFmtId="0" fontId="18" fillId="31" borderId="0" xfId="0" applyFont="1" applyFill="1"/>
    <xf numFmtId="0" fontId="19" fillId="28" borderId="0" xfId="0" applyFont="1" applyFill="1"/>
    <xf numFmtId="0" fontId="20" fillId="8" borderId="0" xfId="0" quotePrefix="1" applyFont="1" applyFill="1" applyAlignment="1">
      <alignment horizontal="left"/>
    </xf>
    <xf numFmtId="0" fontId="20" fillId="8" borderId="0" xfId="0" applyFont="1" applyFill="1"/>
    <xf numFmtId="0" fontId="21" fillId="27" borderId="0" xfId="0" applyFont="1" applyFill="1" applyAlignment="1">
      <alignment horizontal="center" vertical="center" wrapText="1"/>
    </xf>
    <xf numFmtId="0" fontId="22" fillId="21" borderId="0" xfId="0" applyFont="1" applyFill="1"/>
    <xf numFmtId="0" fontId="1" fillId="0" borderId="1" xfId="0" applyFont="1" applyBorder="1" applyAlignment="1">
      <alignment horizontal="center" vertical="center" wrapText="1"/>
    </xf>
    <xf numFmtId="0" fontId="0" fillId="0" borderId="1" xfId="0" applyBorder="1" applyAlignment="1">
      <alignment vertical="center" wrapText="1"/>
    </xf>
    <xf numFmtId="0" fontId="23" fillId="21" borderId="0" xfId="0" applyFont="1" applyFill="1"/>
    <xf numFmtId="0" fontId="5" fillId="21" borderId="0" xfId="0" applyFont="1" applyFill="1"/>
    <xf numFmtId="0" fontId="7" fillId="19" borderId="0" xfId="0" quotePrefix="1" applyFont="1" applyFill="1" applyAlignment="1">
      <alignment horizontal="left"/>
    </xf>
    <xf numFmtId="0" fontId="1" fillId="30" borderId="0" xfId="0" applyFont="1" applyFill="1" applyAlignment="1">
      <alignment horizontal="center" vertical="center" wrapText="1"/>
    </xf>
    <xf numFmtId="0" fontId="0" fillId="30" borderId="0" xfId="0" applyFill="1"/>
    <xf numFmtId="1" fontId="0" fillId="30" borderId="0" xfId="1" applyNumberFormat="1" applyFont="1" applyFill="1" applyAlignment="1">
      <alignment vertical="center" wrapText="1"/>
    </xf>
    <xf numFmtId="9" fontId="0" fillId="30" borderId="0" xfId="1" applyFont="1" applyFill="1"/>
    <xf numFmtId="0" fontId="1" fillId="30" borderId="0" xfId="0" applyFont="1" applyFill="1"/>
    <xf numFmtId="0" fontId="1" fillId="7" borderId="0" xfId="0" applyFont="1" applyFill="1" applyAlignment="1">
      <alignment horizontal="center" vertical="center" wrapText="1"/>
    </xf>
    <xf numFmtId="0" fontId="0" fillId="7" borderId="0" xfId="0" applyFill="1" applyAlignment="1">
      <alignment vertical="center" wrapText="1"/>
    </xf>
    <xf numFmtId="167" fontId="0" fillId="7" borderId="0" xfId="0" applyNumberFormat="1" applyFill="1" applyAlignment="1">
      <alignment vertical="center" wrapText="1"/>
    </xf>
    <xf numFmtId="0" fontId="1" fillId="7" borderId="0" xfId="0" applyFont="1" applyFill="1"/>
    <xf numFmtId="0" fontId="24" fillId="32" borderId="0" xfId="0" applyFont="1" applyFill="1"/>
    <xf numFmtId="0" fontId="15" fillId="32" borderId="0" xfId="0" applyFont="1" applyFill="1"/>
    <xf numFmtId="0" fontId="0" fillId="32" borderId="0" xfId="0" applyFill="1"/>
    <xf numFmtId="168" fontId="0" fillId="0" borderId="0" xfId="0" applyNumberFormat="1"/>
    <xf numFmtId="0" fontId="25" fillId="3" borderId="0" xfId="0" applyFont="1" applyFill="1"/>
    <xf numFmtId="0" fontId="26" fillId="3" borderId="0" xfId="0" applyFont="1" applyFill="1"/>
    <xf numFmtId="0" fontId="0" fillId="33" borderId="0" xfId="0" applyFill="1"/>
    <xf numFmtId="2" fontId="0" fillId="33" borderId="0" xfId="0" applyNumberFormat="1" applyFill="1"/>
    <xf numFmtId="0" fontId="11" fillId="0" borderId="0" xfId="0" applyFont="1"/>
    <xf numFmtId="0" fontId="28" fillId="30" borderId="0" xfId="0" applyFont="1" applyFill="1"/>
    <xf numFmtId="0" fontId="13" fillId="30" borderId="0" xfId="0" applyFont="1" applyFill="1"/>
    <xf numFmtId="0" fontId="29" fillId="8" borderId="0" xfId="0" applyFont="1" applyFill="1"/>
    <xf numFmtId="0" fontId="2" fillId="8" borderId="0" xfId="0" applyFont="1" applyFill="1"/>
    <xf numFmtId="0" fontId="28" fillId="34" borderId="0" xfId="0" applyFont="1" applyFill="1"/>
    <xf numFmtId="0" fontId="13" fillId="34" borderId="0" xfId="0" applyFont="1" applyFill="1"/>
    <xf numFmtId="0" fontId="0" fillId="34" borderId="0" xfId="0" applyFill="1"/>
    <xf numFmtId="0" fontId="0" fillId="31" borderId="0" xfId="0" applyFill="1"/>
    <xf numFmtId="0" fontId="0" fillId="31" borderId="0" xfId="0" applyFill="1" applyAlignment="1">
      <alignment horizontal="center" vertical="center"/>
    </xf>
    <xf numFmtId="0" fontId="13" fillId="26" borderId="0" xfId="0" applyFont="1" applyFill="1"/>
    <xf numFmtId="0" fontId="14" fillId="26" borderId="0" xfId="0" applyFont="1" applyFill="1"/>
    <xf numFmtId="0" fontId="0" fillId="0" borderId="0" xfId="0" applyAlignment="1">
      <alignment horizontal="center"/>
    </xf>
    <xf numFmtId="0" fontId="2" fillId="35" borderId="0" xfId="0" applyFont="1" applyFill="1"/>
    <xf numFmtId="0" fontId="27" fillId="7" borderId="0" xfId="0" quotePrefix="1" applyFont="1" applyFill="1" applyAlignment="1">
      <alignment horizontal="left"/>
    </xf>
    <xf numFmtId="0" fontId="11" fillId="7" borderId="0" xfId="0" applyFont="1" applyFill="1"/>
    <xf numFmtId="0" fontId="30" fillId="36" borderId="0" xfId="0" applyFont="1" applyFill="1"/>
    <xf numFmtId="0" fontId="31" fillId="36" borderId="0" xfId="0" applyFont="1" applyFill="1"/>
    <xf numFmtId="0" fontId="2" fillId="36" borderId="0" xfId="0" applyFont="1" applyFill="1"/>
    <xf numFmtId="0" fontId="2" fillId="22" borderId="0" xfId="0" applyFont="1" applyFill="1" applyAlignment="1">
      <alignment textRotation="45"/>
    </xf>
    <xf numFmtId="0" fontId="32" fillId="4" borderId="0" xfId="0" applyFont="1" applyFill="1"/>
    <xf numFmtId="0" fontId="34" fillId="0" borderId="0" xfId="0" applyFont="1"/>
    <xf numFmtId="0" fontId="34" fillId="0" borderId="0" xfId="0" quotePrefix="1" applyFont="1" applyAlignment="1">
      <alignment horizontal="left"/>
    </xf>
    <xf numFmtId="0" fontId="7" fillId="16" borderId="0" xfId="0" applyFont="1" applyFill="1"/>
    <xf numFmtId="0" fontId="1" fillId="16" borderId="0" xfId="0" applyFont="1" applyFill="1"/>
    <xf numFmtId="0" fontId="33" fillId="3" borderId="0" xfId="0" quotePrefix="1" applyFont="1" applyFill="1" applyAlignment="1">
      <alignment horizontal="left"/>
    </xf>
    <xf numFmtId="0" fontId="33" fillId="3" borderId="0" xfId="0" applyFont="1" applyFill="1"/>
    <xf numFmtId="0" fontId="27" fillId="22" borderId="0" xfId="0" quotePrefix="1" applyFont="1" applyFill="1" applyAlignment="1">
      <alignment horizontal="left" vertical="center" indent="1"/>
    </xf>
    <xf numFmtId="0" fontId="11" fillId="22" borderId="0" xfId="0" applyFont="1" applyFill="1"/>
    <xf numFmtId="0" fontId="12" fillId="22" borderId="0" xfId="0" applyFont="1" applyFill="1"/>
    <xf numFmtId="0" fontId="35" fillId="0" borderId="0" xfId="0" applyFont="1"/>
    <xf numFmtId="0" fontId="2" fillId="0" borderId="0" xfId="0" applyFont="1"/>
    <xf numFmtId="0" fontId="36" fillId="8" borderId="0" xfId="0" quotePrefix="1" applyFont="1" applyFill="1" applyAlignment="1">
      <alignment horizontal="left"/>
    </xf>
    <xf numFmtId="0" fontId="37" fillId="8" borderId="0" xfId="0" applyFont="1" applyFill="1"/>
    <xf numFmtId="14" fontId="0" fillId="0" borderId="0" xfId="0" applyNumberFormat="1"/>
    <xf numFmtId="14" fontId="0" fillId="0" borderId="0" xfId="0" applyNumberFormat="1" applyAlignment="1">
      <alignment vertical="center" wrapText="1"/>
    </xf>
    <xf numFmtId="0" fontId="38" fillId="0" borderId="0" xfId="0" applyFont="1"/>
    <xf numFmtId="0" fontId="39" fillId="0" borderId="0" xfId="0" applyFont="1"/>
    <xf numFmtId="0" fontId="40" fillId="0" borderId="0" xfId="0" applyFont="1" applyAlignment="1">
      <alignment horizontal="center" vertical="center" wrapText="1"/>
    </xf>
    <xf numFmtId="0" fontId="38" fillId="0" borderId="0" xfId="0" applyFont="1" applyAlignment="1">
      <alignment vertical="center" wrapText="1"/>
    </xf>
    <xf numFmtId="14" fontId="38" fillId="0" borderId="0" xfId="0" applyNumberFormat="1" applyFont="1" applyAlignment="1">
      <alignment vertical="center" wrapText="1"/>
    </xf>
    <xf numFmtId="0" fontId="40" fillId="0" borderId="0" xfId="0" quotePrefix="1" applyFont="1" applyAlignment="1">
      <alignment horizontal="center" vertical="center" wrapText="1"/>
    </xf>
    <xf numFmtId="0" fontId="41" fillId="0" borderId="0" xfId="0" applyFont="1"/>
    <xf numFmtId="0" fontId="42" fillId="0" borderId="0" xfId="0" applyFont="1"/>
    <xf numFmtId="0" fontId="43" fillId="0" borderId="0" xfId="0" quotePrefix="1" applyFont="1" applyAlignment="1">
      <alignment horizontal="center" vertical="center" wrapText="1"/>
    </xf>
    <xf numFmtId="0" fontId="43" fillId="0" borderId="0" xfId="0" applyFont="1" applyAlignment="1">
      <alignment horizontal="center" vertical="center" wrapText="1"/>
    </xf>
    <xf numFmtId="0" fontId="41" fillId="0" borderId="0" xfId="0" applyFont="1" applyAlignment="1">
      <alignment vertical="center" wrapText="1"/>
    </xf>
    <xf numFmtId="14" fontId="41" fillId="0" borderId="0" xfId="0" applyNumberFormat="1" applyFont="1" applyAlignment="1">
      <alignment vertical="center" wrapText="1"/>
    </xf>
    <xf numFmtId="0" fontId="44" fillId="0" borderId="0" xfId="0" applyFont="1"/>
    <xf numFmtId="0" fontId="45" fillId="0" borderId="0" xfId="0" applyFont="1"/>
    <xf numFmtId="0" fontId="46" fillId="0" borderId="0" xfId="0" applyFont="1"/>
    <xf numFmtId="0" fontId="47" fillId="0" borderId="0" xfId="0" applyFont="1"/>
    <xf numFmtId="0" fontId="46" fillId="0" borderId="0" xfId="0" quotePrefix="1" applyFont="1" applyAlignment="1">
      <alignment horizontal="left"/>
    </xf>
    <xf numFmtId="0" fontId="0" fillId="0" borderId="0" xfId="0" applyAlignment="1">
      <alignment horizontal="left" vertical="center" indent="1"/>
    </xf>
    <xf numFmtId="0" fontId="48" fillId="0" borderId="0" xfId="0" applyFont="1"/>
    <xf numFmtId="0" fontId="48" fillId="0" borderId="0" xfId="0" quotePrefix="1" applyFont="1" applyAlignment="1">
      <alignment horizontal="left"/>
    </xf>
    <xf numFmtId="0" fontId="49" fillId="0" borderId="0" xfId="0" applyFont="1"/>
    <xf numFmtId="0" fontId="49" fillId="0" borderId="0" xfId="0" applyFont="1" applyAlignment="1">
      <alignment horizontal="left" vertical="center" indent="1"/>
    </xf>
    <xf numFmtId="0" fontId="49" fillId="0" borderId="0" xfId="0" quotePrefix="1" applyFont="1" applyAlignment="1">
      <alignment horizontal="left"/>
    </xf>
    <xf numFmtId="0" fontId="6" fillId="22" borderId="0" xfId="0" applyFont="1" applyFill="1"/>
    <xf numFmtId="0" fontId="0" fillId="22" borderId="0" xfId="0" applyFill="1"/>
    <xf numFmtId="0" fontId="0" fillId="22" borderId="0" xfId="0" applyFill="1" applyAlignment="1">
      <alignment vertical="center"/>
    </xf>
    <xf numFmtId="0" fontId="6" fillId="37" borderId="0" xfId="0" applyFont="1" applyFill="1"/>
    <xf numFmtId="0" fontId="0" fillId="37" borderId="0" xfId="0" applyFill="1"/>
    <xf numFmtId="0" fontId="40" fillId="37" borderId="0" xfId="0" applyFont="1" applyFill="1" applyAlignment="1">
      <alignment horizontal="center" vertical="center" wrapText="1"/>
    </xf>
    <xf numFmtId="0" fontId="38" fillId="37" borderId="0" xfId="0" applyFont="1" applyFill="1" applyAlignment="1">
      <alignment vertical="center" wrapText="1"/>
    </xf>
    <xf numFmtId="0" fontId="0" fillId="27" borderId="0" xfId="0" applyFill="1"/>
    <xf numFmtId="0" fontId="50" fillId="38" borderId="0" xfId="0" applyFont="1" applyFill="1" applyAlignment="1">
      <alignment vertical="center"/>
    </xf>
    <xf numFmtId="0" fontId="2" fillId="38" borderId="0" xfId="0" applyFont="1" applyFill="1"/>
    <xf numFmtId="0" fontId="6" fillId="0" borderId="0" xfId="0" applyFont="1" applyAlignment="1">
      <alignment horizontal="left" vertical="center" indent="1"/>
    </xf>
    <xf numFmtId="0" fontId="6" fillId="14" borderId="0" xfId="0" applyFont="1" applyFill="1" applyAlignment="1">
      <alignment horizontal="left" vertical="center" indent="1"/>
    </xf>
    <xf numFmtId="0" fontId="1" fillId="14" borderId="0" xfId="0" applyFont="1" applyFill="1"/>
    <xf numFmtId="0" fontId="6" fillId="8" borderId="0" xfId="0" applyFont="1" applyFill="1"/>
    <xf numFmtId="0" fontId="51" fillId="21" borderId="0" xfId="0" applyFont="1" applyFill="1" applyAlignment="1">
      <alignment horizontal="left" vertical="center" indent="1"/>
    </xf>
    <xf numFmtId="0" fontId="53" fillId="0" borderId="0" xfId="0" applyFont="1"/>
    <xf numFmtId="14" fontId="53" fillId="0" borderId="0" xfId="0" applyNumberFormat="1" applyFont="1"/>
    <xf numFmtId="0" fontId="52" fillId="3" borderId="0" xfId="0" applyFont="1" applyFill="1" applyAlignment="1">
      <alignment horizontal="left" vertical="center" indent="1"/>
    </xf>
    <xf numFmtId="0" fontId="53" fillId="3" borderId="0" xfId="0" applyFont="1" applyFill="1"/>
    <xf numFmtId="0" fontId="2" fillId="39" borderId="0" xfId="0" applyFont="1" applyFill="1"/>
    <xf numFmtId="0" fontId="51" fillId="9" borderId="0" xfId="0" applyFont="1" applyFill="1" applyAlignment="1">
      <alignment horizontal="left" vertical="center" indent="1"/>
    </xf>
    <xf numFmtId="0" fontId="6" fillId="30" borderId="0" xfId="0" applyFont="1" applyFill="1"/>
    <xf numFmtId="0" fontId="0" fillId="30" borderId="0" xfId="0" applyFill="1" applyAlignment="1">
      <alignment vertical="center"/>
    </xf>
    <xf numFmtId="22" fontId="0" fillId="0" borderId="0" xfId="0" applyNumberFormat="1" applyAlignment="1">
      <alignment vertical="center" wrapText="1"/>
    </xf>
    <xf numFmtId="0" fontId="1" fillId="2" borderId="0" xfId="0" applyFont="1" applyFill="1" applyAlignment="1">
      <alignment horizontal="center" vertical="center" wrapText="1"/>
    </xf>
    <xf numFmtId="0" fontId="54" fillId="2" borderId="0" xfId="0" applyFont="1" applyFill="1" applyAlignment="1">
      <alignment vertical="center" wrapText="1"/>
    </xf>
    <xf numFmtId="0" fontId="0" fillId="40" borderId="0" xfId="0" applyFill="1"/>
    <xf numFmtId="0" fontId="6" fillId="40" borderId="0" xfId="0" quotePrefix="1" applyFont="1" applyFill="1" applyAlignment="1">
      <alignment horizontal="left"/>
    </xf>
    <xf numFmtId="0" fontId="6" fillId="26" borderId="0" xfId="0" applyFont="1" applyFill="1" applyAlignment="1">
      <alignment horizontal="left" vertical="center" indent="1"/>
    </xf>
    <xf numFmtId="0" fontId="0" fillId="26" borderId="0" xfId="0" applyFill="1"/>
    <xf numFmtId="0" fontId="1" fillId="10" borderId="0" xfId="0" applyFont="1" applyFill="1" applyAlignment="1">
      <alignment horizontal="center" vertical="center" wrapText="1"/>
    </xf>
    <xf numFmtId="0" fontId="55" fillId="10" borderId="0" xfId="0" applyFont="1" applyFill="1" applyAlignment="1">
      <alignment vertical="center" wrapText="1"/>
    </xf>
    <xf numFmtId="169" fontId="1" fillId="2" borderId="0" xfId="0" applyNumberFormat="1" applyFont="1" applyFill="1" applyAlignment="1">
      <alignment horizontal="center" vertical="center" wrapText="1"/>
    </xf>
    <xf numFmtId="0" fontId="0" fillId="2" borderId="0" xfId="0" applyFill="1" applyAlignment="1">
      <alignment vertical="center" wrapText="1"/>
    </xf>
    <xf numFmtId="169" fontId="0" fillId="2" borderId="0" xfId="0" applyNumberFormat="1" applyFill="1" applyAlignment="1">
      <alignment vertical="center" wrapText="1"/>
    </xf>
    <xf numFmtId="0" fontId="51" fillId="38" borderId="0" xfId="0" applyFont="1" applyFill="1" applyAlignment="1">
      <alignment horizontal="left" vertical="center" indent="1"/>
    </xf>
    <xf numFmtId="0" fontId="51" fillId="8" borderId="0" xfId="0" quotePrefix="1" applyFont="1" applyFill="1" applyAlignment="1">
      <alignment horizontal="left" vertical="center" indent="1"/>
    </xf>
    <xf numFmtId="0" fontId="6" fillId="31" borderId="0" xfId="0" applyFont="1" applyFill="1"/>
    <xf numFmtId="14" fontId="0" fillId="31" borderId="0" xfId="0" applyNumberFormat="1" applyFill="1"/>
    <xf numFmtId="0" fontId="6" fillId="30" borderId="0" xfId="0" applyFont="1" applyFill="1" applyAlignment="1">
      <alignment horizontal="left" vertical="center" indent="1"/>
    </xf>
    <xf numFmtId="14" fontId="0" fillId="30" borderId="0" xfId="0" applyNumberFormat="1" applyFill="1"/>
    <xf numFmtId="0" fontId="6" fillId="34" borderId="0" xfId="0" quotePrefix="1" applyFont="1" applyFill="1" applyAlignment="1">
      <alignment horizontal="left" vertical="center" indent="1"/>
    </xf>
    <xf numFmtId="14" fontId="0" fillId="34" borderId="0" xfId="0" applyNumberFormat="1" applyFill="1"/>
    <xf numFmtId="0" fontId="6" fillId="41" borderId="0" xfId="0" applyFont="1" applyFill="1" applyAlignment="1">
      <alignment horizontal="left" vertical="center" indent="1"/>
    </xf>
    <xf numFmtId="0" fontId="0" fillId="41" borderId="0" xfId="0" applyFill="1"/>
    <xf numFmtId="14" fontId="0" fillId="41" borderId="0" xfId="0" applyNumberFormat="1" applyFill="1"/>
    <xf numFmtId="0" fontId="6" fillId="3" borderId="0" xfId="0" applyFont="1" applyFill="1" applyAlignment="1">
      <alignment horizontal="left" vertical="center" indent="1"/>
    </xf>
    <xf numFmtId="0" fontId="0" fillId="0" borderId="0" xfId="0" quotePrefix="1" applyAlignment="1">
      <alignment horizontal="left" vertical="center" wrapText="1"/>
    </xf>
    <xf numFmtId="170" fontId="1" fillId="0" borderId="0" xfId="0" applyNumberFormat="1" applyFont="1" applyAlignment="1">
      <alignment horizontal="center" vertical="center" wrapText="1"/>
    </xf>
    <xf numFmtId="170" fontId="0" fillId="0" borderId="0" xfId="0" quotePrefix="1" applyNumberFormat="1" applyAlignment="1">
      <alignment horizontal="left" vertical="center" wrapText="1"/>
    </xf>
    <xf numFmtId="170" fontId="0" fillId="0" borderId="0" xfId="0" applyNumberFormat="1" applyAlignment="1">
      <alignment vertical="center" wrapText="1"/>
    </xf>
    <xf numFmtId="171" fontId="0" fillId="0" borderId="0" xfId="0" applyNumberFormat="1" applyAlignment="1">
      <alignment vertical="center" wrapText="1"/>
    </xf>
    <xf numFmtId="171" fontId="0" fillId="0" borderId="0" xfId="0" quotePrefix="1" applyNumberFormat="1" applyAlignment="1">
      <alignment horizontal="left" vertical="center" wrapText="1"/>
    </xf>
    <xf numFmtId="0" fontId="55" fillId="30" borderId="0" xfId="0" applyFont="1" applyFill="1" applyAlignment="1">
      <alignment vertical="center" wrapText="1"/>
    </xf>
    <xf numFmtId="0" fontId="27" fillId="0" borderId="0" xfId="0" applyFont="1" applyAlignment="1">
      <alignment horizontal="left" vertical="center" indent="1"/>
    </xf>
    <xf numFmtId="0" fontId="5" fillId="21" borderId="0" xfId="0" quotePrefix="1" applyFont="1" applyFill="1" applyAlignment="1">
      <alignment horizontal="center" vertical="center" wrapText="1"/>
    </xf>
    <xf numFmtId="0" fontId="6" fillId="25" borderId="0" xfId="0" applyFont="1" applyFill="1" applyAlignment="1">
      <alignment horizontal="left" vertical="center" indent="1"/>
    </xf>
    <xf numFmtId="170" fontId="0" fillId="25" borderId="0" xfId="0" applyNumberFormat="1" applyFill="1" applyAlignment="1">
      <alignment vertical="center" wrapText="1"/>
    </xf>
    <xf numFmtId="0" fontId="0" fillId="25" borderId="0" xfId="0" applyFill="1"/>
    <xf numFmtId="171" fontId="0" fillId="0" borderId="0" xfId="0" applyNumberFormat="1"/>
    <xf numFmtId="0" fontId="1" fillId="0" borderId="0" xfId="0" quotePrefix="1" applyFont="1" applyAlignment="1">
      <alignment horizontal="left"/>
    </xf>
    <xf numFmtId="1" fontId="2" fillId="22" borderId="0" xfId="0" applyNumberFormat="1" applyFont="1" applyFill="1"/>
    <xf numFmtId="0" fontId="51" fillId="22" borderId="0" xfId="0" applyFont="1" applyFill="1" applyAlignment="1">
      <alignment horizontal="left" vertical="center" indent="1"/>
    </xf>
    <xf numFmtId="0" fontId="28" fillId="41" borderId="0" xfId="0" applyFont="1" applyFill="1" applyAlignment="1">
      <alignment horizontal="left" vertical="center" indent="1"/>
    </xf>
    <xf numFmtId="0" fontId="13" fillId="41" borderId="0" xfId="0" applyFont="1" applyFill="1"/>
    <xf numFmtId="0" fontId="13" fillId="31" borderId="0" xfId="0" applyFont="1" applyFill="1"/>
    <xf numFmtId="0" fontId="7" fillId="37" borderId="0" xfId="0" applyFont="1" applyFill="1" applyAlignment="1">
      <alignment horizontal="left" vertical="center" indent="1"/>
    </xf>
    <xf numFmtId="0" fontId="1" fillId="37" borderId="0" xfId="0" applyFont="1" applyFill="1"/>
    <xf numFmtId="0" fontId="5" fillId="42" borderId="0" xfId="0" applyFont="1" applyFill="1"/>
    <xf numFmtId="0" fontId="23" fillId="42" borderId="0" xfId="0" applyFont="1" applyFill="1"/>
    <xf numFmtId="0" fontId="1" fillId="29" borderId="0" xfId="0" applyFont="1" applyFill="1"/>
    <xf numFmtId="0" fontId="0" fillId="29" borderId="0" xfId="0" applyFill="1"/>
    <xf numFmtId="0" fontId="7" fillId="30" borderId="0" xfId="0" applyFont="1" applyFill="1" applyAlignment="1">
      <alignment horizontal="left" vertical="center" indent="1"/>
    </xf>
    <xf numFmtId="0" fontId="31" fillId="21" borderId="0" xfId="0" applyFont="1" applyFill="1"/>
    <xf numFmtId="0" fontId="31" fillId="5" borderId="0" xfId="0" applyFont="1" applyFill="1"/>
    <xf numFmtId="172" fontId="0" fillId="0" borderId="0" xfId="0" applyNumberFormat="1" applyAlignment="1">
      <alignment vertical="center" wrapText="1"/>
    </xf>
    <xf numFmtId="0" fontId="7" fillId="14" borderId="0" xfId="0" applyFont="1" applyFill="1" applyAlignment="1">
      <alignment horizontal="left" vertical="center" indent="1"/>
    </xf>
    <xf numFmtId="0" fontId="57" fillId="0" borderId="0" xfId="2" applyAlignment="1">
      <alignment vertical="center" wrapText="1"/>
    </xf>
    <xf numFmtId="0" fontId="57" fillId="0" borderId="0" xfId="2" quotePrefix="1" applyAlignment="1">
      <alignment horizontal="left" vertical="center" wrapText="1"/>
    </xf>
    <xf numFmtId="0" fontId="7" fillId="43" borderId="0" xfId="0" applyFont="1" applyFill="1" applyAlignment="1">
      <alignment horizontal="left" vertical="center" indent="1"/>
    </xf>
    <xf numFmtId="0" fontId="1" fillId="43" borderId="0" xfId="0" applyFont="1" applyFill="1"/>
    <xf numFmtId="0" fontId="0" fillId="43" borderId="0" xfId="0" applyFill="1"/>
    <xf numFmtId="0" fontId="7" fillId="7" borderId="0" xfId="0" applyFont="1" applyFill="1" applyAlignment="1">
      <alignment horizontal="left" vertical="center" indent="1"/>
    </xf>
    <xf numFmtId="0" fontId="7" fillId="44" borderId="0" xfId="0" quotePrefix="1" applyFont="1" applyFill="1" applyAlignment="1">
      <alignment horizontal="left"/>
    </xf>
    <xf numFmtId="0" fontId="1" fillId="44" borderId="0" xfId="0" applyFont="1" applyFill="1"/>
    <xf numFmtId="0" fontId="0" fillId="13" borderId="0" xfId="0" applyFill="1"/>
    <xf numFmtId="0" fontId="0" fillId="13" borderId="0" xfId="0" quotePrefix="1" applyFill="1" applyAlignment="1">
      <alignment horizontal="left" vertical="center" wrapText="1"/>
    </xf>
    <xf numFmtId="0" fontId="7" fillId="45" borderId="0" xfId="0" applyFont="1" applyFill="1" applyAlignment="1">
      <alignment horizontal="left" vertical="center" indent="1"/>
    </xf>
    <xf numFmtId="0" fontId="1" fillId="45" borderId="0" xfId="0" applyFont="1" applyFill="1"/>
    <xf numFmtId="0" fontId="1" fillId="45" borderId="0" xfId="0" applyFont="1" applyFill="1" applyAlignment="1">
      <alignment horizontal="center" vertical="center" wrapText="1"/>
    </xf>
    <xf numFmtId="0" fontId="0" fillId="45" borderId="0" xfId="0" applyFill="1"/>
    <xf numFmtId="0" fontId="7" fillId="46" borderId="0" xfId="0" quotePrefix="1" applyFont="1" applyFill="1" applyAlignment="1">
      <alignment horizontal="left"/>
    </xf>
    <xf numFmtId="0" fontId="1" fillId="46" borderId="0" xfId="0" applyFont="1" applyFill="1"/>
    <xf numFmtId="0" fontId="0" fillId="46" borderId="0" xfId="0" applyFill="1"/>
    <xf numFmtId="0" fontId="7" fillId="47" borderId="0" xfId="0" applyFont="1" applyFill="1" applyAlignment="1">
      <alignment horizontal="left" vertical="center" indent="1"/>
    </xf>
    <xf numFmtId="0" fontId="1" fillId="47" borderId="0" xfId="0" applyFont="1" applyFill="1"/>
    <xf numFmtId="0" fontId="0" fillId="48" borderId="0" xfId="0" applyFill="1" applyAlignment="1">
      <alignment vertical="center" wrapText="1"/>
    </xf>
    <xf numFmtId="0" fontId="1" fillId="33" borderId="0" xfId="0" applyFont="1" applyFill="1" applyAlignment="1">
      <alignment horizontal="center" vertical="center" wrapText="1"/>
    </xf>
    <xf numFmtId="0" fontId="0" fillId="33" borderId="0" xfId="0" applyFill="1" applyAlignment="1">
      <alignment vertical="center" wrapText="1"/>
    </xf>
    <xf numFmtId="0" fontId="0" fillId="10" borderId="0" xfId="0" applyFill="1" applyAlignment="1">
      <alignment vertical="center" wrapText="1"/>
    </xf>
    <xf numFmtId="0" fontId="7" fillId="49" borderId="0" xfId="0" quotePrefix="1" applyFont="1" applyFill="1" applyAlignment="1">
      <alignment horizontal="left"/>
    </xf>
    <xf numFmtId="0" fontId="1" fillId="49" borderId="0" xfId="0" applyFont="1" applyFill="1"/>
    <xf numFmtId="0" fontId="0" fillId="49" borderId="0" xfId="0" applyFill="1"/>
    <xf numFmtId="0" fontId="0" fillId="47" borderId="0" xfId="0" applyFill="1"/>
    <xf numFmtId="0" fontId="7" fillId="50" borderId="0" xfId="0" applyFont="1" applyFill="1" applyAlignment="1">
      <alignment horizontal="left" vertical="center" indent="1"/>
    </xf>
    <xf numFmtId="0" fontId="1" fillId="50" borderId="0" xfId="0" applyFont="1" applyFill="1"/>
    <xf numFmtId="0" fontId="0" fillId="51" borderId="0" xfId="0" applyFill="1"/>
    <xf numFmtId="0" fontId="7" fillId="3" borderId="0" xfId="0" quotePrefix="1" applyFont="1" applyFill="1" applyAlignment="1">
      <alignment horizontal="left"/>
    </xf>
    <xf numFmtId="0" fontId="0" fillId="50" borderId="0" xfId="0" applyFill="1"/>
    <xf numFmtId="0" fontId="7" fillId="52" borderId="0" xfId="0" applyFont="1" applyFill="1" applyAlignment="1">
      <alignment horizontal="left" vertical="center" indent="1"/>
    </xf>
    <xf numFmtId="0" fontId="1" fillId="52" borderId="0" xfId="0" applyFont="1" applyFill="1"/>
    <xf numFmtId="0" fontId="7" fillId="53" borderId="0" xfId="0" applyFont="1" applyFill="1" applyAlignment="1">
      <alignment horizontal="left" vertical="center" indent="1"/>
    </xf>
    <xf numFmtId="0" fontId="1" fillId="53" borderId="0" xfId="0" applyFont="1" applyFill="1"/>
    <xf numFmtId="0" fontId="0" fillId="54" borderId="0" xfId="0" applyFill="1" applyAlignment="1">
      <alignment vertical="center" wrapText="1"/>
    </xf>
    <xf numFmtId="0" fontId="1" fillId="0" borderId="0" xfId="0" applyFont="1" applyAlignment="1">
      <alignment vertical="center" wrapText="1"/>
    </xf>
    <xf numFmtId="0" fontId="1" fillId="54" borderId="0" xfId="0" applyFont="1" applyFill="1" applyAlignment="1">
      <alignment vertical="center" wrapText="1"/>
    </xf>
    <xf numFmtId="0" fontId="7" fillId="55" borderId="0" xfId="0" applyFont="1" applyFill="1" applyAlignment="1">
      <alignment horizontal="left" vertical="center" indent="1"/>
    </xf>
    <xf numFmtId="0" fontId="1" fillId="55" borderId="0" xfId="0" applyFont="1" applyFill="1"/>
    <xf numFmtId="49" fontId="0" fillId="0" borderId="0" xfId="0" quotePrefix="1" applyNumberFormat="1" applyAlignment="1">
      <alignment horizontal="left"/>
    </xf>
    <xf numFmtId="0" fontId="7" fillId="56" borderId="0" xfId="0" applyFont="1" applyFill="1" applyAlignment="1">
      <alignment horizontal="left" vertical="center" indent="1"/>
    </xf>
    <xf numFmtId="0" fontId="1" fillId="56" borderId="0" xfId="0" applyFont="1" applyFill="1"/>
    <xf numFmtId="0" fontId="27" fillId="57" borderId="0" xfId="0" applyFont="1" applyFill="1" applyAlignment="1">
      <alignment horizontal="left" vertical="center" indent="1"/>
    </xf>
    <xf numFmtId="0" fontId="11" fillId="57" borderId="0" xfId="0" applyFont="1" applyFill="1"/>
    <xf numFmtId="0" fontId="12" fillId="57" borderId="0" xfId="0" applyFont="1" applyFill="1"/>
    <xf numFmtId="0" fontId="7" fillId="58" borderId="0" xfId="0" applyFont="1" applyFill="1" applyAlignment="1">
      <alignment horizontal="left" vertical="center" indent="1"/>
    </xf>
    <xf numFmtId="0" fontId="1" fillId="58" borderId="0" xfId="0" applyFont="1" applyFill="1"/>
    <xf numFmtId="0" fontId="7" fillId="34" borderId="0" xfId="0" applyFont="1" applyFill="1" applyAlignment="1">
      <alignment horizontal="left" vertical="center" indent="1"/>
    </xf>
    <xf numFmtId="0" fontId="1" fillId="34" borderId="0" xfId="0" applyFont="1" applyFill="1" applyAlignment="1">
      <alignment vertical="center" wrapText="1"/>
    </xf>
    <xf numFmtId="0" fontId="1" fillId="34" borderId="0" xfId="0" applyFont="1" applyFill="1"/>
    <xf numFmtId="0" fontId="5" fillId="59" borderId="0" xfId="0" applyFont="1" applyFill="1"/>
    <xf numFmtId="0" fontId="2" fillId="59" borderId="0" xfId="0" applyFont="1" applyFill="1"/>
    <xf numFmtId="0" fontId="23" fillId="59" borderId="0" xfId="0" applyFont="1" applyFill="1" applyAlignment="1">
      <alignment horizontal="left" vertical="center" indent="1"/>
    </xf>
    <xf numFmtId="0" fontId="58" fillId="51" borderId="0" xfId="0" quotePrefix="1" applyFont="1" applyFill="1" applyAlignment="1">
      <alignment horizontal="left"/>
    </xf>
    <xf numFmtId="0" fontId="59" fillId="51" borderId="0" xfId="0" applyFont="1" applyFill="1"/>
    <xf numFmtId="0" fontId="27" fillId="7" borderId="0" xfId="0" applyFont="1" applyFill="1" applyAlignment="1">
      <alignment horizontal="left" vertical="center" indent="1"/>
    </xf>
    <xf numFmtId="0" fontId="7" fillId="49" borderId="0" xfId="0" applyFont="1" applyFill="1" applyAlignment="1">
      <alignment horizontal="left" vertical="center" indent="1"/>
    </xf>
    <xf numFmtId="0" fontId="1" fillId="49" borderId="0" xfId="0" applyFont="1" applyFill="1" applyAlignment="1">
      <alignment horizontal="center" vertical="center" wrapText="1"/>
    </xf>
    <xf numFmtId="0" fontId="0" fillId="49" borderId="0" xfId="0" applyFill="1" applyAlignment="1">
      <alignment vertical="center" wrapText="1"/>
    </xf>
    <xf numFmtId="0" fontId="1" fillId="47" borderId="0" xfId="0" applyFont="1" applyFill="1" applyAlignment="1">
      <alignment horizontal="center" vertical="center" wrapText="1"/>
    </xf>
    <xf numFmtId="0" fontId="0" fillId="47" borderId="0" xfId="0" applyFill="1" applyAlignment="1">
      <alignment vertical="center" wrapText="1"/>
    </xf>
    <xf numFmtId="0" fontId="7" fillId="60" borderId="0" xfId="0" applyFont="1" applyFill="1"/>
    <xf numFmtId="0" fontId="1" fillId="60" borderId="0" xfId="0" applyFont="1" applyFill="1"/>
    <xf numFmtId="0" fontId="0" fillId="60" borderId="0" xfId="0" applyFill="1"/>
    <xf numFmtId="6" fontId="0" fillId="0" borderId="0" xfId="0" applyNumberFormat="1"/>
    <xf numFmtId="6" fontId="0" fillId="0" borderId="0" xfId="0" applyNumberFormat="1" applyAlignment="1">
      <alignment vertical="center" wrapText="1"/>
    </xf>
    <xf numFmtId="0" fontId="0" fillId="0" borderId="0" xfId="0" pivotButton="1"/>
    <xf numFmtId="0" fontId="0" fillId="0" borderId="0" xfId="0" applyAlignment="1">
      <alignment horizontal="left"/>
    </xf>
    <xf numFmtId="0" fontId="7" fillId="3" borderId="0" xfId="0" applyFont="1" applyFill="1" applyAlignment="1">
      <alignment horizontal="left" vertical="center" indent="1"/>
    </xf>
    <xf numFmtId="0" fontId="7" fillId="51" borderId="0" xfId="0" applyFont="1" applyFill="1" applyAlignment="1">
      <alignment horizontal="left" vertical="center" indent="1"/>
    </xf>
    <xf numFmtId="0" fontId="1" fillId="51" borderId="0" xfId="0" applyFont="1" applyFill="1"/>
    <xf numFmtId="0" fontId="7" fillId="20" borderId="0" xfId="0" applyFont="1" applyFill="1" applyAlignment="1">
      <alignment horizontal="left" vertical="center" indent="1"/>
    </xf>
    <xf numFmtId="0" fontId="1" fillId="20" borderId="0" xfId="0" applyFont="1" applyFill="1"/>
    <xf numFmtId="0" fontId="0" fillId="0" borderId="0" xfId="0" applyAlignment="1">
      <alignment horizontal="left" indent="1"/>
    </xf>
    <xf numFmtId="0" fontId="7" fillId="19" borderId="0" xfId="0" applyFont="1" applyFill="1" applyAlignment="1">
      <alignment horizontal="left" vertical="center" indent="1"/>
    </xf>
    <xf numFmtId="0" fontId="7" fillId="61" borderId="0" xfId="0" quotePrefix="1" applyFont="1" applyFill="1" applyAlignment="1">
      <alignment horizontal="left"/>
    </xf>
    <xf numFmtId="0" fontId="1" fillId="61" borderId="0" xfId="0" applyFont="1" applyFill="1"/>
    <xf numFmtId="0" fontId="0" fillId="0" borderId="0" xfId="0" applyAlignment="1">
      <alignment horizontal="left" indent="2"/>
    </xf>
    <xf numFmtId="0" fontId="0" fillId="61" borderId="0" xfId="0" applyFill="1"/>
    <xf numFmtId="0" fontId="23" fillId="3" borderId="0" xfId="0" applyFont="1" applyFill="1"/>
    <xf numFmtId="0" fontId="5" fillId="3" borderId="0" xfId="0" applyFont="1" applyFill="1"/>
    <xf numFmtId="0" fontId="7" fillId="8" borderId="0" xfId="0" applyFont="1" applyFill="1" applyAlignment="1">
      <alignment horizontal="left" vertical="center" indent="1"/>
    </xf>
    <xf numFmtId="0" fontId="1" fillId="8" borderId="0" xfId="0" applyFont="1" applyFill="1"/>
    <xf numFmtId="15" fontId="0" fillId="0" borderId="0" xfId="0" applyNumberFormat="1" applyAlignment="1">
      <alignment vertical="center" wrapText="1"/>
    </xf>
    <xf numFmtId="0" fontId="23" fillId="32" borderId="0" xfId="0" applyFont="1" applyFill="1" applyAlignment="1">
      <alignment horizontal="left" vertical="center" indent="1"/>
    </xf>
    <xf numFmtId="0" fontId="5" fillId="32" borderId="0" xfId="0" applyFont="1" applyFill="1"/>
    <xf numFmtId="0" fontId="23" fillId="62" borderId="0" xfId="0" quotePrefix="1" applyFont="1" applyFill="1" applyAlignment="1">
      <alignment horizontal="left"/>
    </xf>
    <xf numFmtId="0" fontId="5" fillId="62" borderId="0" xfId="0" applyFont="1" applyFill="1"/>
    <xf numFmtId="15" fontId="0" fillId="0" borderId="0" xfId="0" applyNumberFormat="1" applyAlignment="1">
      <alignment horizontal="left" indent="2"/>
    </xf>
    <xf numFmtId="0" fontId="7" fillId="44" borderId="0" xfId="0" applyFont="1" applyFill="1" applyAlignment="1">
      <alignment horizontal="left" vertical="center" indent="1"/>
    </xf>
    <xf numFmtId="0" fontId="7" fillId="0" borderId="0" xfId="0" applyFont="1" applyAlignment="1">
      <alignment horizontal="left" vertical="center" indent="1"/>
    </xf>
    <xf numFmtId="14" fontId="0" fillId="0" borderId="0" xfId="0" applyNumberFormat="1" applyAlignment="1">
      <alignment horizontal="left" indent="2"/>
    </xf>
    <xf numFmtId="0" fontId="23" fillId="8" borderId="0" xfId="0" applyFont="1" applyFill="1" applyAlignment="1">
      <alignment horizontal="left" vertical="center" indent="1"/>
    </xf>
    <xf numFmtId="0" fontId="5" fillId="8" borderId="0" xfId="0" applyFont="1" applyFill="1"/>
    <xf numFmtId="0" fontId="23" fillId="39" borderId="0" xfId="0" applyFont="1" applyFill="1" applyAlignment="1">
      <alignment horizontal="left" vertical="center" indent="1"/>
    </xf>
    <xf numFmtId="0" fontId="5" fillId="39" borderId="0" xfId="0" applyFont="1" applyFill="1"/>
    <xf numFmtId="0" fontId="7" fillId="63" borderId="0" xfId="0" applyFont="1" applyFill="1" applyAlignment="1">
      <alignment horizontal="left" vertical="center" indent="1"/>
    </xf>
    <xf numFmtId="0" fontId="1" fillId="63" borderId="0" xfId="0" applyFont="1" applyFill="1"/>
    <xf numFmtId="0" fontId="7" fillId="33" borderId="0" xfId="0" applyFont="1" applyFill="1" applyAlignment="1">
      <alignment horizontal="left" vertical="center" indent="1"/>
    </xf>
    <xf numFmtId="0" fontId="1" fillId="33" borderId="0" xfId="0" applyFont="1" applyFill="1"/>
    <xf numFmtId="0" fontId="23" fillId="64" borderId="0" xfId="0" applyFont="1" applyFill="1" applyAlignment="1">
      <alignment horizontal="left" vertical="center" indent="1"/>
    </xf>
    <xf numFmtId="0" fontId="5" fillId="64" borderId="0" xfId="0" applyFont="1" applyFill="1"/>
    <xf numFmtId="0" fontId="1" fillId="0" borderId="0" xfId="0" quotePrefix="1" applyFont="1" applyAlignment="1">
      <alignment horizontal="center" vertical="center" wrapText="1"/>
    </xf>
    <xf numFmtId="0" fontId="1" fillId="43" borderId="0" xfId="0" applyFont="1" applyFill="1" applyAlignment="1">
      <alignment horizontal="center" vertical="center" wrapText="1"/>
    </xf>
    <xf numFmtId="0" fontId="0" fillId="43" borderId="0" xfId="0" quotePrefix="1" applyFill="1" applyAlignment="1">
      <alignment horizontal="left"/>
    </xf>
    <xf numFmtId="0" fontId="1" fillId="31" borderId="0" xfId="0" applyFont="1" applyFill="1"/>
    <xf numFmtId="0" fontId="1" fillId="10" borderId="0" xfId="0" applyFont="1" applyFill="1"/>
    <xf numFmtId="0" fontId="7" fillId="24" borderId="0" xfId="0" applyFont="1" applyFill="1" applyAlignment="1">
      <alignment horizontal="left" vertical="center" indent="1"/>
    </xf>
    <xf numFmtId="0" fontId="23" fillId="17" borderId="0" xfId="0" applyFont="1" applyFill="1" applyAlignment="1">
      <alignment horizontal="left" vertical="center" indent="1"/>
    </xf>
    <xf numFmtId="0" fontId="5" fillId="17" borderId="0" xfId="0" applyFont="1" applyFill="1"/>
    <xf numFmtId="9" fontId="0" fillId="0" borderId="0" xfId="0" applyNumberFormat="1"/>
    <xf numFmtId="9" fontId="0" fillId="0" borderId="0" xfId="0" applyNumberFormat="1" applyAlignment="1">
      <alignment vertical="center" wrapText="1"/>
    </xf>
    <xf numFmtId="9" fontId="1" fillId="33" borderId="0" xfId="0" applyNumberFormat="1" applyFont="1" applyFill="1" applyAlignment="1">
      <alignment vertical="center" wrapText="1"/>
    </xf>
    <xf numFmtId="0" fontId="12" fillId="51" borderId="0" xfId="0" applyFont="1" applyFill="1"/>
    <xf numFmtId="0" fontId="27" fillId="51" borderId="0" xfId="0" applyFont="1" applyFill="1" applyAlignment="1">
      <alignment horizontal="left" vertical="center" indent="1"/>
    </xf>
    <xf numFmtId="0" fontId="11" fillId="51" borderId="0" xfId="0" applyFont="1" applyFill="1"/>
    <xf numFmtId="0" fontId="13" fillId="0" borderId="0" xfId="0" applyFont="1"/>
    <xf numFmtId="0" fontId="60" fillId="0" borderId="0" xfId="0" applyFont="1"/>
    <xf numFmtId="0" fontId="61" fillId="0" borderId="0" xfId="0" applyFont="1"/>
    <xf numFmtId="0" fontId="62" fillId="0" borderId="0" xfId="0" applyFont="1"/>
    <xf numFmtId="0" fontId="1" fillId="65" borderId="0" xfId="0" applyFont="1" applyFill="1" applyAlignment="1">
      <alignment horizontal="center" vertical="center" wrapText="1"/>
    </xf>
    <xf numFmtId="0" fontId="0" fillId="65" borderId="0" xfId="0" applyFill="1"/>
    <xf numFmtId="0" fontId="0" fillId="65" borderId="0" xfId="0" applyFill="1" applyAlignment="1">
      <alignment vertical="center" wrapText="1"/>
    </xf>
    <xf numFmtId="0" fontId="1" fillId="31" borderId="0" xfId="0" applyFont="1" applyFill="1" applyAlignment="1">
      <alignment horizontal="center" vertical="center" wrapText="1"/>
    </xf>
    <xf numFmtId="0" fontId="0" fillId="31" borderId="0" xfId="0" applyFill="1" applyAlignment="1">
      <alignment horizontal="center" vertical="center" wrapText="1"/>
    </xf>
    <xf numFmtId="0" fontId="0" fillId="31" borderId="0" xfId="0" applyFill="1" applyAlignment="1">
      <alignment vertical="center" wrapText="1"/>
    </xf>
    <xf numFmtId="0" fontId="6" fillId="0" borderId="0" xfId="0" quotePrefix="1" applyFont="1" applyAlignment="1">
      <alignment horizontal="left" vertical="center" indent="1"/>
    </xf>
    <xf numFmtId="0" fontId="7" fillId="34" borderId="0" xfId="0" quotePrefix="1" applyFont="1" applyFill="1" applyAlignment="1">
      <alignment horizontal="left" vertical="center" indent="1"/>
    </xf>
    <xf numFmtId="0" fontId="0" fillId="31" borderId="0" xfId="0" quotePrefix="1" applyFill="1" applyAlignment="1">
      <alignment horizontal="left" vertical="center" wrapText="1"/>
    </xf>
    <xf numFmtId="0" fontId="7" fillId="40" borderId="0" xfId="0" applyFont="1" applyFill="1" applyAlignment="1">
      <alignment horizontal="left" vertical="center" indent="1"/>
    </xf>
    <xf numFmtId="0" fontId="1" fillId="40" borderId="0" xfId="0" applyFont="1" applyFill="1"/>
    <xf numFmtId="0" fontId="23" fillId="8" borderId="0" xfId="0" quotePrefix="1" applyFont="1" applyFill="1" applyAlignment="1">
      <alignment horizontal="left" vertical="center" indent="1"/>
    </xf>
    <xf numFmtId="15" fontId="0" fillId="0" borderId="0" xfId="0" applyNumberFormat="1"/>
    <xf numFmtId="0" fontId="23" fillId="22" borderId="0" xfId="0" applyFont="1" applyFill="1" applyAlignment="1">
      <alignment horizontal="left" vertical="center" indent="1"/>
    </xf>
    <xf numFmtId="0" fontId="7" fillId="41" borderId="0" xfId="0" applyFont="1" applyFill="1" applyAlignment="1">
      <alignment horizontal="left" vertical="center" indent="1"/>
    </xf>
    <xf numFmtId="0" fontId="1" fillId="41" borderId="0" xfId="0" applyFont="1" applyFill="1"/>
    <xf numFmtId="0" fontId="63" fillId="0" borderId="0" xfId="0" applyFont="1"/>
    <xf numFmtId="0" fontId="23" fillId="17" borderId="0" xfId="0" quotePrefix="1" applyFont="1" applyFill="1" applyAlignment="1">
      <alignment horizontal="left" vertical="center" indent="1"/>
    </xf>
    <xf numFmtId="0" fontId="7" fillId="31" borderId="0" xfId="0" applyFont="1" applyFill="1" applyAlignment="1">
      <alignment horizontal="left" vertical="center" indent="1"/>
    </xf>
    <xf numFmtId="1" fontId="0" fillId="0" borderId="0" xfId="0" quotePrefix="1" applyNumberFormat="1" applyAlignment="1">
      <alignment horizontal="left" vertical="center" wrapText="1"/>
    </xf>
    <xf numFmtId="1" fontId="0" fillId="0" borderId="0" xfId="0" applyNumberFormat="1" applyAlignment="1">
      <alignment vertical="center" wrapText="1"/>
    </xf>
    <xf numFmtId="173" fontId="0" fillId="0" borderId="0" xfId="0" applyNumberFormat="1" applyAlignment="1">
      <alignment vertical="center" wrapText="1"/>
    </xf>
    <xf numFmtId="174" fontId="0" fillId="0" borderId="0" xfId="0" quotePrefix="1" applyNumberFormat="1" applyAlignment="1">
      <alignment horizontal="left" vertical="center" wrapText="1"/>
    </xf>
    <xf numFmtId="174" fontId="0" fillId="0" borderId="0" xfId="0" applyNumberFormat="1" applyAlignment="1">
      <alignment vertical="center" wrapText="1"/>
    </xf>
    <xf numFmtId="0" fontId="23" fillId="51" borderId="0" xfId="0" applyFont="1" applyFill="1" applyAlignment="1">
      <alignment horizontal="left" vertical="center" indent="1"/>
    </xf>
    <xf numFmtId="0" fontId="5" fillId="51" borderId="0" xfId="0" applyFont="1" applyFill="1"/>
    <xf numFmtId="0" fontId="2" fillId="51" borderId="0" xfId="0" applyFont="1" applyFill="1"/>
    <xf numFmtId="175" fontId="0" fillId="0" borderId="0" xfId="3" applyNumberFormat="1" applyFont="1" applyAlignment="1">
      <alignment vertical="center" wrapText="1"/>
    </xf>
    <xf numFmtId="0" fontId="23" fillId="66" borderId="0" xfId="0" applyFont="1" applyFill="1" applyAlignment="1">
      <alignment horizontal="left" vertical="center" indent="1"/>
    </xf>
    <xf numFmtId="0" fontId="5" fillId="66" borderId="0" xfId="0" applyFont="1" applyFill="1"/>
    <xf numFmtId="0" fontId="2" fillId="66" borderId="0" xfId="0" applyFont="1" applyFill="1"/>
    <xf numFmtId="174" fontId="0" fillId="0" borderId="0" xfId="0" applyNumberFormat="1"/>
    <xf numFmtId="0" fontId="23" fillId="21" borderId="0" xfId="0" applyFont="1" applyFill="1" applyAlignment="1">
      <alignment horizontal="left" vertical="center" indent="1"/>
    </xf>
    <xf numFmtId="0" fontId="7" fillId="10" borderId="0" xfId="0" applyFont="1" applyFill="1" applyAlignment="1">
      <alignment horizontal="left" vertical="center" indent="1"/>
    </xf>
    <xf numFmtId="0" fontId="63" fillId="10" borderId="0" xfId="0" applyFont="1" applyFill="1"/>
    <xf numFmtId="0" fontId="23" fillId="51" borderId="0" xfId="0" quotePrefix="1" applyFont="1" applyFill="1" applyAlignment="1">
      <alignment horizontal="left"/>
    </xf>
    <xf numFmtId="0" fontId="64" fillId="0" borderId="0" xfId="0" applyFont="1" applyAlignment="1">
      <alignment horizontal="left" vertical="center" wrapText="1" indent="1"/>
    </xf>
    <xf numFmtId="0" fontId="65" fillId="0" borderId="0" xfId="0" applyFont="1" applyAlignment="1">
      <alignment horizontal="left" vertical="center" wrapText="1" indent="1"/>
    </xf>
    <xf numFmtId="0" fontId="7" fillId="67" borderId="0" xfId="0" applyFont="1" applyFill="1" applyAlignment="1">
      <alignment horizontal="left" vertical="center" indent="1"/>
    </xf>
    <xf numFmtId="0" fontId="1" fillId="67" borderId="0" xfId="0" applyFont="1" applyFill="1"/>
    <xf numFmtId="0" fontId="0" fillId="0" borderId="0" xfId="0" applyAlignment="1">
      <alignment horizontal="right" vertical="center" wrapText="1"/>
    </xf>
    <xf numFmtId="0" fontId="1" fillId="0" borderId="0" xfId="0" applyFont="1" applyAlignment="1">
      <alignment horizontal="right" vertical="center" wrapText="1"/>
    </xf>
    <xf numFmtId="0" fontId="23" fillId="50" borderId="0" xfId="0" applyFont="1" applyFill="1"/>
    <xf numFmtId="0" fontId="5" fillId="50" borderId="0" xfId="0" applyFont="1" applyFill="1"/>
    <xf numFmtId="0" fontId="66" fillId="0" borderId="0" xfId="0" applyFont="1"/>
    <xf numFmtId="0" fontId="67" fillId="0" borderId="0" xfId="0" applyFont="1"/>
    <xf numFmtId="0" fontId="0" fillId="55" borderId="0" xfId="0" applyFill="1"/>
    <xf numFmtId="0" fontId="7" fillId="68" borderId="0" xfId="0" applyFont="1" applyFill="1" applyAlignment="1">
      <alignment horizontal="left" vertical="center" indent="1"/>
    </xf>
    <xf numFmtId="0" fontId="1" fillId="68" borderId="0" xfId="0" applyFont="1" applyFill="1"/>
    <xf numFmtId="0" fontId="7" fillId="52" borderId="0" xfId="0" quotePrefix="1" applyFont="1" applyFill="1" applyAlignment="1">
      <alignment horizontal="left"/>
    </xf>
    <xf numFmtId="0" fontId="0" fillId="0" borderId="0" xfId="0" quotePrefix="1" applyAlignment="1">
      <alignment horizontal="left" vertical="center" indent="1"/>
    </xf>
    <xf numFmtId="0" fontId="7" fillId="15" borderId="0" xfId="0" applyFont="1" applyFill="1" applyAlignment="1">
      <alignment horizontal="left" vertical="center" indent="1"/>
    </xf>
    <xf numFmtId="0" fontId="1" fillId="15" borderId="0" xfId="0" applyFont="1" applyFill="1"/>
    <xf numFmtId="0" fontId="0" fillId="0" borderId="0" xfId="0" applyAlignment="1">
      <alignment horizontal="center" vertical="center" wrapText="1"/>
    </xf>
    <xf numFmtId="0" fontId="0" fillId="0" borderId="0" xfId="0" quotePrefix="1" applyAlignment="1">
      <alignment horizontal="center" vertical="center" wrapText="1"/>
    </xf>
    <xf numFmtId="0" fontId="1" fillId="55" borderId="0" xfId="0" applyFont="1" applyFill="1" applyAlignment="1">
      <alignment vertical="center" wrapText="1"/>
    </xf>
    <xf numFmtId="0" fontId="1" fillId="61" borderId="0" xfId="0" applyFont="1" applyFill="1" applyAlignment="1">
      <alignment vertical="center" wrapText="1"/>
    </xf>
    <xf numFmtId="0" fontId="1" fillId="69" borderId="0" xfId="0" applyFont="1" applyFill="1"/>
    <xf numFmtId="176" fontId="1" fillId="0" borderId="0" xfId="0" applyNumberFormat="1" applyFont="1"/>
    <xf numFmtId="176" fontId="69" fillId="0" borderId="0" xfId="0" applyNumberFormat="1" applyFont="1" applyAlignment="1">
      <alignment horizontal="center" vertical="center" wrapText="1"/>
    </xf>
    <xf numFmtId="176" fontId="69" fillId="0" borderId="0" xfId="0" applyNumberFormat="1" applyFont="1" applyAlignment="1">
      <alignment vertical="center" wrapText="1"/>
    </xf>
    <xf numFmtId="176" fontId="69" fillId="0" borderId="0" xfId="0" applyNumberFormat="1" applyFont="1"/>
    <xf numFmtId="176" fontId="68" fillId="33" borderId="2" xfId="0" applyNumberFormat="1" applyFont="1" applyFill="1" applyBorder="1" applyAlignment="1">
      <alignment horizontal="left" vertical="center" indent="1"/>
    </xf>
    <xf numFmtId="176" fontId="70" fillId="70" borderId="2" xfId="0" applyNumberFormat="1" applyFont="1" applyFill="1" applyBorder="1" applyAlignment="1">
      <alignment horizontal="left" vertical="center" indent="1"/>
    </xf>
    <xf numFmtId="0" fontId="1" fillId="70" borderId="0" xfId="0" applyFont="1" applyFill="1" applyAlignment="1">
      <alignment vertical="center" wrapText="1"/>
    </xf>
    <xf numFmtId="176" fontId="70" fillId="61" borderId="3" xfId="0" applyNumberFormat="1" applyFont="1" applyFill="1" applyBorder="1" applyAlignment="1">
      <alignment horizontal="left" vertical="center" indent="1"/>
    </xf>
    <xf numFmtId="0" fontId="6" fillId="0" borderId="0" xfId="0" applyFont="1"/>
    <xf numFmtId="176" fontId="0" fillId="0" borderId="0" xfId="0" applyNumberFormat="1"/>
    <xf numFmtId="0" fontId="7" fillId="6" borderId="0" xfId="0" applyFont="1" applyFill="1"/>
    <xf numFmtId="0" fontId="1" fillId="6" borderId="0" xfId="0" applyFont="1" applyFill="1"/>
    <xf numFmtId="0" fontId="1" fillId="0" borderId="0" xfId="0" applyFont="1" applyAlignment="1">
      <alignment horizontal="left" vertical="center" indent="1"/>
    </xf>
    <xf numFmtId="0" fontId="7" fillId="31" borderId="0" xfId="0" quotePrefix="1" applyFont="1" applyFill="1" applyAlignment="1">
      <alignment horizontal="left" vertical="center" indent="1"/>
    </xf>
    <xf numFmtId="0" fontId="7" fillId="34" borderId="0" xfId="0" quotePrefix="1" applyFont="1" applyFill="1" applyAlignment="1">
      <alignment horizontal="left"/>
    </xf>
    <xf numFmtId="0" fontId="7" fillId="47" borderId="0" xfId="0" applyFont="1" applyFill="1"/>
    <xf numFmtId="0" fontId="5" fillId="0" borderId="0" xfId="0" applyFont="1" applyAlignment="1">
      <alignment horizontal="center" vertical="center" wrapText="1"/>
    </xf>
    <xf numFmtId="0" fontId="28" fillId="31" borderId="0" xfId="0" quotePrefix="1" applyFont="1" applyFill="1" applyAlignment="1">
      <alignment horizontal="left" vertical="center" indent="1"/>
    </xf>
    <xf numFmtId="0" fontId="2" fillId="35" borderId="0" xfId="0" applyFont="1" applyFill="1" applyAlignment="1">
      <alignment horizontal="center"/>
    </xf>
    <xf numFmtId="0" fontId="2" fillId="35" borderId="0" xfId="0" quotePrefix="1" applyFont="1" applyFill="1" applyAlignment="1">
      <alignment horizontal="center"/>
    </xf>
    <xf numFmtId="0" fontId="0" fillId="0" borderId="0" xfId="0" applyAlignment="1">
      <alignment horizontal="center"/>
    </xf>
    <xf numFmtId="0" fontId="1" fillId="30" borderId="0" xfId="0" quotePrefix="1" applyFont="1" applyFill="1" applyAlignment="1">
      <alignment horizontal="center"/>
    </xf>
    <xf numFmtId="0" fontId="1" fillId="30" borderId="0" xfId="0" applyFont="1" applyFill="1" applyAlignment="1">
      <alignment horizontal="center"/>
    </xf>
  </cellXfs>
  <cellStyles count="4">
    <cellStyle name="Currency" xfId="3" builtinId="4"/>
    <cellStyle name="Hyperlink" xfId="2" builtinId="8"/>
    <cellStyle name="Normal" xfId="0" builtinId="0"/>
    <cellStyle name="Percent" xfId="1" builtinId="5"/>
  </cellStyles>
  <dxfs count="28">
    <dxf>
      <fill>
        <patternFill>
          <bgColor theme="8" tint="0.39994506668294322"/>
        </patternFill>
      </fill>
    </dxf>
    <dxf>
      <fill>
        <patternFill>
          <bgColor theme="8" tint="0.39994506668294322"/>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ill>
        <patternFill>
          <bgColor theme="4" tint="0.59996337778862885"/>
        </patternFill>
      </fill>
    </dxf>
    <dxf>
      <fill>
        <patternFill>
          <bgColor theme="6" tint="0.39994506668294322"/>
        </patternFill>
      </fill>
    </dxf>
    <dxf>
      <fill>
        <patternFill patternType="solid">
          <fgColor indexed="64"/>
          <bgColor theme="6" tint="0.59999389629810485"/>
        </patternFill>
      </fill>
      <alignment horizontal="general" vertical="center" textRotation="0" wrapText="1" indent="0" justifyLastLine="0" shrinkToFit="0" readingOrder="0"/>
    </dxf>
    <dxf>
      <fill>
        <patternFill patternType="solid">
          <fgColor indexed="64"/>
          <bgColor theme="6" tint="0.59999389629810485"/>
        </patternFill>
      </fill>
      <alignment horizontal="general" vertical="center" textRotation="0" wrapText="1" indent="0" justifyLastLine="0" shrinkToFit="0" readingOrder="0"/>
    </dxf>
    <dxf>
      <fill>
        <patternFill patternType="solid">
          <fgColor indexed="64"/>
          <bgColor theme="6" tint="0.59999389629810485"/>
        </patternFill>
      </fill>
      <alignment horizontal="general" vertical="center" textRotation="0" wrapText="1" indent="0" justifyLastLine="0" shrinkToFit="0" readingOrder="0"/>
    </dxf>
    <dxf>
      <fill>
        <patternFill patternType="solid">
          <fgColor indexed="64"/>
          <bgColor theme="6" tint="0.59999389629810485"/>
        </patternFill>
      </fill>
      <alignment horizontal="general" vertical="center" textRotation="0" wrapText="1" indent="0" justifyLastLine="0" shrinkToFit="0" readingOrder="0"/>
    </dxf>
    <dxf>
      <fill>
        <patternFill patternType="solid">
          <fgColor indexed="64"/>
          <bgColor theme="6" tint="0.59999389629810485"/>
        </patternFill>
      </fill>
      <alignment horizontal="general" vertical="center" textRotation="0" wrapText="1" indent="0" justifyLastLine="0" shrinkToFit="0" readingOrder="0"/>
    </dxf>
    <dxf>
      <fill>
        <patternFill patternType="solid">
          <fgColor indexed="64"/>
          <bgColor theme="6" tint="0.59999389629810485"/>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fill>
        <patternFill patternType="solid">
          <fgColor indexed="64"/>
          <bgColor theme="6" tint="0.59999389629810485"/>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FDB929F5-B2CC-44A6-ABCC-74C245528B8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7/relationships/slicerCache" Target="slicerCaches/slicerCache3.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18915</xdr:colOff>
      <xdr:row>1</xdr:row>
      <xdr:rowOff>179700</xdr:rowOff>
    </xdr:from>
    <xdr:to>
      <xdr:col>8</xdr:col>
      <xdr:colOff>818115</xdr:colOff>
      <xdr:row>2</xdr:row>
      <xdr:rowOff>19800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8" name="Ink 7">
              <a:extLst>
                <a:ext uri="{FF2B5EF4-FFF2-40B4-BE49-F238E27FC236}">
                  <a16:creationId xmlns:a16="http://schemas.microsoft.com/office/drawing/2014/main" id="{7242C432-7CDD-D057-48E2-E8B29DEDA3CE}"/>
                </a:ext>
              </a:extLst>
            </xdr14:cNvPr>
            <xdr14:cNvContentPartPr/>
          </xdr14:nvContentPartPr>
          <xdr14:nvPr macro=""/>
          <xdr14:xfrm>
            <a:off x="3457440" y="446400"/>
            <a:ext cx="2628000" cy="30600"/>
          </xdr14:xfrm>
        </xdr:contentPart>
      </mc:Choice>
      <mc:Fallback xmlns="">
        <xdr:pic>
          <xdr:nvPicPr>
            <xdr:cNvPr id="8" name="Ink 7">
              <a:extLst>
                <a:ext uri="{FF2B5EF4-FFF2-40B4-BE49-F238E27FC236}">
                  <a16:creationId xmlns:a16="http://schemas.microsoft.com/office/drawing/2014/main" id="{7242C432-7CDD-D057-48E2-E8B29DEDA3CE}"/>
                </a:ext>
              </a:extLst>
            </xdr:cNvPr>
            <xdr:cNvPicPr/>
          </xdr:nvPicPr>
          <xdr:blipFill>
            <a:blip xmlns:r="http://schemas.openxmlformats.org/officeDocument/2006/relationships" r:embed="rId2"/>
            <a:stretch>
              <a:fillRect/>
            </a:stretch>
          </xdr:blipFill>
          <xdr:spPr>
            <a:xfrm>
              <a:off x="3451320" y="440280"/>
              <a:ext cx="2640240" cy="42840"/>
            </a:xfrm>
            <a:prstGeom prst="rect">
              <a:avLst/>
            </a:prstGeom>
          </xdr:spPr>
        </xdr:pic>
      </mc:Fallback>
    </mc:AlternateContent>
    <xdr:clientData/>
  </xdr:twoCellAnchor>
  <xdr:twoCellAnchor editAs="oneCell">
    <xdr:from>
      <xdr:col>6</xdr:col>
      <xdr:colOff>523515</xdr:colOff>
      <xdr:row>2</xdr:row>
      <xdr:rowOff>190440</xdr:rowOff>
    </xdr:from>
    <xdr:to>
      <xdr:col>6</xdr:col>
      <xdr:colOff>523875</xdr:colOff>
      <xdr:row>3</xdr:row>
      <xdr:rowOff>300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9" name="Ink 8">
              <a:extLst>
                <a:ext uri="{FF2B5EF4-FFF2-40B4-BE49-F238E27FC236}">
                  <a16:creationId xmlns:a16="http://schemas.microsoft.com/office/drawing/2014/main" id="{443CD655-E850-9469-8014-5328B78AE81B}"/>
                </a:ext>
              </a:extLst>
            </xdr14:cNvPr>
            <xdr14:cNvContentPartPr/>
          </xdr14:nvContentPartPr>
          <xdr14:nvPr macro=""/>
          <xdr14:xfrm>
            <a:off x="4571640" y="647640"/>
            <a:ext cx="360" cy="360"/>
          </xdr14:xfrm>
        </xdr:contentPart>
      </mc:Choice>
      <mc:Fallback xmlns="">
        <xdr:pic>
          <xdr:nvPicPr>
            <xdr:cNvPr id="9" name="Ink 8">
              <a:extLst>
                <a:ext uri="{FF2B5EF4-FFF2-40B4-BE49-F238E27FC236}">
                  <a16:creationId xmlns:a16="http://schemas.microsoft.com/office/drawing/2014/main" id="{443CD655-E850-9469-8014-5328B78AE81B}"/>
                </a:ext>
              </a:extLst>
            </xdr:cNvPr>
            <xdr:cNvPicPr/>
          </xdr:nvPicPr>
          <xdr:blipFill>
            <a:blip xmlns:r="http://schemas.openxmlformats.org/officeDocument/2006/relationships" r:embed="rId4"/>
            <a:stretch>
              <a:fillRect/>
            </a:stretch>
          </xdr:blipFill>
          <xdr:spPr>
            <a:xfrm>
              <a:off x="4565520" y="641520"/>
              <a:ext cx="12600" cy="12600"/>
            </a:xfrm>
            <a:prstGeom prst="rect">
              <a:avLst/>
            </a:prstGeom>
          </xdr:spPr>
        </xdr:pic>
      </mc:Fallback>
    </mc:AlternateContent>
    <xdr:clientData/>
  </xdr:twoCellAnchor>
  <xdr:twoCellAnchor>
    <xdr:from>
      <xdr:col>10</xdr:col>
      <xdr:colOff>266700</xdr:colOff>
      <xdr:row>6</xdr:row>
      <xdr:rowOff>180975</xdr:rowOff>
    </xdr:from>
    <xdr:to>
      <xdr:col>13</xdr:col>
      <xdr:colOff>152400</xdr:colOff>
      <xdr:row>10</xdr:row>
      <xdr:rowOff>57150</xdr:rowOff>
    </xdr:to>
    <xdr:sp macro="" textlink="">
      <xdr:nvSpPr>
        <xdr:cNvPr id="10" name="Arrow: Right 9">
          <a:extLst>
            <a:ext uri="{FF2B5EF4-FFF2-40B4-BE49-F238E27FC236}">
              <a16:creationId xmlns:a16="http://schemas.microsoft.com/office/drawing/2014/main" id="{DC78F887-2D9E-EDD3-EB23-483A133818B1}"/>
            </a:ext>
          </a:extLst>
        </xdr:cNvPr>
        <xdr:cNvSpPr/>
      </xdr:nvSpPr>
      <xdr:spPr>
        <a:xfrm>
          <a:off x="7029450" y="1400175"/>
          <a:ext cx="1714500" cy="638175"/>
        </a:xfrm>
        <a:prstGeom prst="rightArrow">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361950</xdr:colOff>
      <xdr:row>25</xdr:row>
      <xdr:rowOff>180975</xdr:rowOff>
    </xdr:from>
    <xdr:to>
      <xdr:col>3</xdr:col>
      <xdr:colOff>485775</xdr:colOff>
      <xdr:row>28</xdr:row>
      <xdr:rowOff>57150</xdr:rowOff>
    </xdr:to>
    <xdr:sp macro="" textlink="">
      <xdr:nvSpPr>
        <xdr:cNvPr id="2" name="Arrow: Right 1">
          <a:extLst>
            <a:ext uri="{FF2B5EF4-FFF2-40B4-BE49-F238E27FC236}">
              <a16:creationId xmlns:a16="http://schemas.microsoft.com/office/drawing/2014/main" id="{C6262CFE-39E1-AEA0-E34F-3D5E6E295C5A}"/>
            </a:ext>
          </a:extLst>
        </xdr:cNvPr>
        <xdr:cNvSpPr/>
      </xdr:nvSpPr>
      <xdr:spPr>
        <a:xfrm>
          <a:off x="361950" y="8934450"/>
          <a:ext cx="1952625" cy="495300"/>
        </a:xfrm>
        <a:prstGeom prst="rightArrow">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133350</xdr:colOff>
      <xdr:row>25</xdr:row>
      <xdr:rowOff>87631</xdr:rowOff>
    </xdr:from>
    <xdr:to>
      <xdr:col>7</xdr:col>
      <xdr:colOff>571500</xdr:colOff>
      <xdr:row>25</xdr:row>
      <xdr:rowOff>133350</xdr:rowOff>
    </xdr:to>
    <xdr:sp macro="" textlink="">
      <xdr:nvSpPr>
        <xdr:cNvPr id="2" name="Arrow: Right 1">
          <a:extLst>
            <a:ext uri="{FF2B5EF4-FFF2-40B4-BE49-F238E27FC236}">
              <a16:creationId xmlns:a16="http://schemas.microsoft.com/office/drawing/2014/main" id="{0FA2907A-EDBE-439B-CB91-DD783E079A49}"/>
            </a:ext>
          </a:extLst>
        </xdr:cNvPr>
        <xdr:cNvSpPr/>
      </xdr:nvSpPr>
      <xdr:spPr>
        <a:xfrm>
          <a:off x="5657850" y="4592956"/>
          <a:ext cx="438150"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876300</xdr:colOff>
      <xdr:row>140</xdr:row>
      <xdr:rowOff>171450</xdr:rowOff>
    </xdr:from>
    <xdr:to>
      <xdr:col>6</xdr:col>
      <xdr:colOff>542925</xdr:colOff>
      <xdr:row>145</xdr:row>
      <xdr:rowOff>171450</xdr:rowOff>
    </xdr:to>
    <xdr:sp macro="" textlink="">
      <xdr:nvSpPr>
        <xdr:cNvPr id="4" name="Arrow: Left-Up 3">
          <a:extLst>
            <a:ext uri="{FF2B5EF4-FFF2-40B4-BE49-F238E27FC236}">
              <a16:creationId xmlns:a16="http://schemas.microsoft.com/office/drawing/2014/main" id="{D0F795D0-A9FE-D618-C529-C1EAEBA7C33A}"/>
            </a:ext>
          </a:extLst>
        </xdr:cNvPr>
        <xdr:cNvSpPr/>
      </xdr:nvSpPr>
      <xdr:spPr>
        <a:xfrm>
          <a:off x="4667250" y="30422850"/>
          <a:ext cx="1800225" cy="952500"/>
        </a:xfrm>
        <a:prstGeom prst="leftUpArrow">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123825</xdr:colOff>
      <xdr:row>35</xdr:row>
      <xdr:rowOff>0</xdr:rowOff>
    </xdr:from>
    <xdr:to>
      <xdr:col>10</xdr:col>
      <xdr:colOff>95250</xdr:colOff>
      <xdr:row>39</xdr:row>
      <xdr:rowOff>0</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E0C95E25-2921-8BFE-BBC9-5FA887D29CC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667625" y="6667500"/>
              <a:ext cx="1828800" cy="76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190500</xdr:colOff>
      <xdr:row>35</xdr:row>
      <xdr:rowOff>9525</xdr:rowOff>
    </xdr:from>
    <xdr:to>
      <xdr:col>12</xdr:col>
      <xdr:colOff>1123950</xdr:colOff>
      <xdr:row>39</xdr:row>
      <xdr:rowOff>114300</xdr:rowOff>
    </xdr:to>
    <mc:AlternateContent xmlns:mc="http://schemas.openxmlformats.org/markup-compatibility/2006" xmlns:a14="http://schemas.microsoft.com/office/drawing/2010/main">
      <mc:Choice Requires="a14">
        <xdr:graphicFrame macro="">
          <xdr:nvGraphicFramePr>
            <xdr:cNvPr id="4" name="Product 1">
              <a:extLst>
                <a:ext uri="{FF2B5EF4-FFF2-40B4-BE49-F238E27FC236}">
                  <a16:creationId xmlns:a16="http://schemas.microsoft.com/office/drawing/2014/main" id="{32992324-C743-6C0F-ACE5-F3A928010503}"/>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0201275" y="6677025"/>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19050</xdr:colOff>
      <xdr:row>32</xdr:row>
      <xdr:rowOff>161925</xdr:rowOff>
    </xdr:from>
    <xdr:to>
      <xdr:col>15</xdr:col>
      <xdr:colOff>933450</xdr:colOff>
      <xdr:row>39</xdr:row>
      <xdr:rowOff>47625</xdr:rowOff>
    </xdr:to>
    <mc:AlternateContent xmlns:mc="http://schemas.openxmlformats.org/markup-compatibility/2006" xmlns:a14="http://schemas.microsoft.com/office/drawing/2010/main">
      <mc:Choice Requires="a14">
        <xdr:graphicFrame macro="">
          <xdr:nvGraphicFramePr>
            <xdr:cNvPr id="5" name="Product 2">
              <a:extLst>
                <a:ext uri="{FF2B5EF4-FFF2-40B4-BE49-F238E27FC236}">
                  <a16:creationId xmlns:a16="http://schemas.microsoft.com/office/drawing/2014/main" id="{94245D6A-9144-74AC-FA58-34AB767658F6}"/>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3287375" y="6257925"/>
              <a:ext cx="1828800"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161925</xdr:colOff>
      <xdr:row>28</xdr:row>
      <xdr:rowOff>57151</xdr:rowOff>
    </xdr:from>
    <xdr:to>
      <xdr:col>18</xdr:col>
      <xdr:colOff>1095375</xdr:colOff>
      <xdr:row>38</xdr:row>
      <xdr:rowOff>171451</xdr:rowOff>
    </xdr:to>
    <mc:AlternateContent xmlns:mc="http://schemas.openxmlformats.org/markup-compatibility/2006" xmlns:a14="http://schemas.microsoft.com/office/drawing/2010/main">
      <mc:Choice Requires="a14">
        <xdr:graphicFrame macro="">
          <xdr:nvGraphicFramePr>
            <xdr:cNvPr id="6" name="Product 3">
              <a:extLst>
                <a:ext uri="{FF2B5EF4-FFF2-40B4-BE49-F238E27FC236}">
                  <a16:creationId xmlns:a16="http://schemas.microsoft.com/office/drawing/2014/main" id="{DEA09BDA-954D-AAA7-8CCA-57CAD99E81C0}"/>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16306800" y="5391151"/>
              <a:ext cx="1828800" cy="2019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9</xdr:col>
      <xdr:colOff>28575</xdr:colOff>
      <xdr:row>68</xdr:row>
      <xdr:rowOff>152400</xdr:rowOff>
    </xdr:from>
    <xdr:to>
      <xdr:col>10</xdr:col>
      <xdr:colOff>219075</xdr:colOff>
      <xdr:row>69</xdr:row>
      <xdr:rowOff>180975</xdr:rowOff>
    </xdr:to>
    <xdr:sp macro="" textlink="">
      <xdr:nvSpPr>
        <xdr:cNvPr id="2" name="Arrow: Left 1">
          <a:extLst>
            <a:ext uri="{FF2B5EF4-FFF2-40B4-BE49-F238E27FC236}">
              <a16:creationId xmlns:a16="http://schemas.microsoft.com/office/drawing/2014/main" id="{59BBDC09-7E7B-7AA3-BB6F-04258D714F43}"/>
            </a:ext>
          </a:extLst>
        </xdr:cNvPr>
        <xdr:cNvSpPr/>
      </xdr:nvSpPr>
      <xdr:spPr>
        <a:xfrm>
          <a:off x="8296275" y="13411200"/>
          <a:ext cx="800100" cy="36195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295275</xdr:colOff>
      <xdr:row>89</xdr:row>
      <xdr:rowOff>114299</xdr:rowOff>
    </xdr:from>
    <xdr:to>
      <xdr:col>9</xdr:col>
      <xdr:colOff>428625</xdr:colOff>
      <xdr:row>91</xdr:row>
      <xdr:rowOff>57149</xdr:rowOff>
    </xdr:to>
    <xdr:sp macro="" textlink="">
      <xdr:nvSpPr>
        <xdr:cNvPr id="3" name="Arrow: Left 2">
          <a:extLst>
            <a:ext uri="{FF2B5EF4-FFF2-40B4-BE49-F238E27FC236}">
              <a16:creationId xmlns:a16="http://schemas.microsoft.com/office/drawing/2014/main" id="{44038F72-452B-E7E1-EF49-D395CA54A0F3}"/>
            </a:ext>
          </a:extLst>
        </xdr:cNvPr>
        <xdr:cNvSpPr/>
      </xdr:nvSpPr>
      <xdr:spPr>
        <a:xfrm>
          <a:off x="7953375" y="17706974"/>
          <a:ext cx="742950" cy="4667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495300</xdr:colOff>
      <xdr:row>56</xdr:row>
      <xdr:rowOff>104775</xdr:rowOff>
    </xdr:from>
    <xdr:to>
      <xdr:col>10</xdr:col>
      <xdr:colOff>447675</xdr:colOff>
      <xdr:row>57</xdr:row>
      <xdr:rowOff>123825</xdr:rowOff>
    </xdr:to>
    <xdr:sp macro="" textlink="">
      <xdr:nvSpPr>
        <xdr:cNvPr id="4" name="Arrow: Left 3">
          <a:extLst>
            <a:ext uri="{FF2B5EF4-FFF2-40B4-BE49-F238E27FC236}">
              <a16:creationId xmlns:a16="http://schemas.microsoft.com/office/drawing/2014/main" id="{29595296-78E8-7CFB-0881-362B528D34B3}"/>
            </a:ext>
          </a:extLst>
        </xdr:cNvPr>
        <xdr:cNvSpPr/>
      </xdr:nvSpPr>
      <xdr:spPr>
        <a:xfrm>
          <a:off x="8153400" y="11077575"/>
          <a:ext cx="1171575" cy="3810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85725</xdr:colOff>
          <xdr:row>20</xdr:row>
          <xdr:rowOff>47625</xdr:rowOff>
        </xdr:from>
        <xdr:to>
          <xdr:col>8</xdr:col>
          <xdr:colOff>1257300</xdr:colOff>
          <xdr:row>21</xdr:row>
          <xdr:rowOff>171450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9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 Get Report</a:t>
              </a:r>
            </a:p>
          </xdr:txBody>
        </xdr:sp>
        <xdr:clientData fPrintsWithSheet="0"/>
      </xdr:twoCellAnchor>
    </mc:Choice>
    <mc:Fallback/>
  </mc:AlternateContent>
  <xdr:twoCellAnchor>
    <xdr:from>
      <xdr:col>7</xdr:col>
      <xdr:colOff>9525</xdr:colOff>
      <xdr:row>4</xdr:row>
      <xdr:rowOff>161925</xdr:rowOff>
    </xdr:from>
    <xdr:to>
      <xdr:col>7</xdr:col>
      <xdr:colOff>723900</xdr:colOff>
      <xdr:row>6</xdr:row>
      <xdr:rowOff>0</xdr:rowOff>
    </xdr:to>
    <xdr:sp macro="" textlink="">
      <xdr:nvSpPr>
        <xdr:cNvPr id="3" name="Arrow: Left 2">
          <a:extLst>
            <a:ext uri="{FF2B5EF4-FFF2-40B4-BE49-F238E27FC236}">
              <a16:creationId xmlns:a16="http://schemas.microsoft.com/office/drawing/2014/main" id="{1CDB9B0C-40E8-9C56-59CA-27B70479EFAC}"/>
            </a:ext>
          </a:extLst>
        </xdr:cNvPr>
        <xdr:cNvSpPr/>
      </xdr:nvSpPr>
      <xdr:spPr>
        <a:xfrm>
          <a:off x="5953125" y="1304925"/>
          <a:ext cx="714375" cy="21907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7-14T09:44:50.385"/>
    </inkml:context>
    <inkml:brush xml:id="br0">
      <inkml:brushProperty name="width" value="0.035" units="cm"/>
      <inkml:brushProperty name="height" value="0.035" units="cm"/>
    </inkml:brush>
  </inkml:definitions>
  <inkml:trace contextRef="#ctx0" brushRef="#br0">1 3 24575,'102'1'0,"120"15"0,-103-6 0,200-7 0,-154-6 0,259 3 0,-404-1 0,-1-1 0,37-8 0,-36 5 0,1 1 0,27-1 0,634 3 0,-332 4 0,-312-2 0,-2-1 0,0 2 0,0 1 0,67 13 0,-69-9 0,1-2 0,0-1 0,1-2 0,53-4 0,-38 1 0,55 4 0,27 23 0,-47-11 0,-63-9 0,0-1 0,29 1 0,345-4 0,-183-3 0,95-24 0,-209 12 0,125 1 0,277 13 0,-482 1 0,1 1 0,33 9 0,-32-7 0,0 0 0,24 1 0,671-3 0,-349-5 0,188 3 0,-533-1 45,1-1-1,31-8 1,27-2-1544,-59 11-5327</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7-14T09:44:52.440"/>
    </inkml:context>
    <inkml:brush xml:id="br0">
      <inkml:brushProperty name="width" value="0.035" units="cm"/>
      <inkml:brushProperty name="height" value="0.035" units="cm"/>
    </inkml:brush>
  </inkml:definitions>
  <inkml:trace contextRef="#ctx0" brushRef="#br0">1 0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ana" refreshedDate="45857.777142245373" createdVersion="8" refreshedVersion="8" minRefreshableVersion="3" recordCount="10" xr:uid="{3526FB20-D6C6-4FF3-B6AB-704EB3E3A712}">
  <cacheSource type="worksheet">
    <worksheetSource ref="A1:E11" sheet="Section7"/>
  </cacheSource>
  <cacheFields count="7">
    <cacheField name="Sale ID" numFmtId="0">
      <sharedItems containsSemiMixedTypes="0" containsString="0" containsNumber="1" containsInteger="1" minValue="1001" maxValue="1010" count="10">
        <n v="1001"/>
        <n v="1002"/>
        <n v="1003"/>
        <n v="1004"/>
        <n v="1005"/>
        <n v="1006"/>
        <n v="1007"/>
        <n v="1008"/>
        <n v="1009"/>
        <n v="1010"/>
      </sharedItems>
    </cacheField>
    <cacheField name="Date" numFmtId="14">
      <sharedItems containsSemiMixedTypes="0" containsNonDate="0" containsDate="1" containsString="0" minDate="2025-07-01T00:00:00" maxDate="2025-07-07T00:00:00" count="6">
        <d v="2025-07-01T00:00:00"/>
        <d v="2025-07-02T00:00:00"/>
        <d v="2025-07-03T00:00:00"/>
        <d v="2025-07-04T00:00:00"/>
        <d v="2025-07-05T00:00:00"/>
        <d v="2025-07-06T00:00:00"/>
      </sharedItems>
      <fieldGroup par="6"/>
    </cacheField>
    <cacheField name="Customer Name" numFmtId="0">
      <sharedItems count="10">
        <s v="Aditi Mehra"/>
        <s v="Ravi Kumar"/>
        <s v="Sneha Kapoor"/>
        <s v="Arjun Singh"/>
        <s v="Karan Joshi"/>
        <s v="Tanya Sharma"/>
        <s v="Priya Verma"/>
        <s v="Meena Patel"/>
        <s v="Anil Kumar"/>
        <s v="Rina Reddy"/>
      </sharedItems>
    </cacheField>
    <cacheField name="Product" numFmtId="0">
      <sharedItems count="7">
        <s v="Laptop"/>
        <s v="Mouse"/>
        <s v="Smartphone"/>
        <s v="Headphones"/>
        <s v="Tablet"/>
        <s v="Smartwatch"/>
        <s v="Keyboard"/>
      </sharedItems>
    </cacheField>
    <cacheField name="Sales Amount" numFmtId="6">
      <sharedItems containsSemiMixedTypes="0" containsString="0" containsNumber="1" containsInteger="1" minValue="1200" maxValue="58000"/>
    </cacheField>
    <cacheField name="Days (Date)" numFmtId="0" databaseField="0">
      <fieldGroup base="1">
        <rangePr groupBy="days" startDate="2025-07-01T00:00:00" endDate="2025-07-07T00:00:00"/>
        <groupItems count="368">
          <s v="&lt;7/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7/2025"/>
        </groupItems>
      </fieldGroup>
    </cacheField>
    <cacheField name="Months (Date)" numFmtId="0" databaseField="0">
      <fieldGroup base="1">
        <rangePr groupBy="months" startDate="2025-07-01T00:00:00" endDate="2025-07-07T00:00:00"/>
        <groupItems count="14">
          <s v="&lt;7/1/2025"/>
          <s v="Jan"/>
          <s v="Feb"/>
          <s v="Mar"/>
          <s v="Apr"/>
          <s v="May"/>
          <s v="Jun"/>
          <s v="Jul"/>
          <s v="Aug"/>
          <s v="Sep"/>
          <s v="Oct"/>
          <s v="Nov"/>
          <s v="Dec"/>
          <s v="&gt;7/7/2025"/>
        </groupItems>
      </fieldGroup>
    </cacheField>
  </cacheFields>
  <extLst>
    <ext xmlns:x14="http://schemas.microsoft.com/office/spreadsheetml/2009/9/main" uri="{725AE2AE-9491-48be-B2B4-4EB974FC3084}">
      <x14:pivotCacheDefinition pivotCacheId="141790222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ana" refreshedDate="45857.824676388889" createdVersion="8" refreshedVersion="8" minRefreshableVersion="3" recordCount="9" xr:uid="{A951B4D7-6E8B-4C27-9BF8-33625993C914}">
  <cacheSource type="worksheet">
    <worksheetSource ref="A1:D10" sheet="Pivot2 Sec7"/>
  </cacheSource>
  <cacheFields count="6">
    <cacheField name="Date" numFmtId="15">
      <sharedItems containsSemiMixedTypes="0" containsNonDate="0" containsDate="1" containsString="0" minDate="2025-01-01T00:00:00" maxDate="2025-03-12T00:00:00" count="9">
        <d v="2025-01-01T00:00:00"/>
        <d v="2025-01-02T00:00:00"/>
        <d v="2025-01-05T00:00:00"/>
        <d v="2025-02-10T00:00:00"/>
        <d v="2025-02-14T00:00:00"/>
        <d v="2025-02-20T00:00:00"/>
        <d v="2025-03-01T00:00:00"/>
        <d v="2025-03-05T00:00:00"/>
        <d v="2025-03-11T00:00:00"/>
      </sharedItems>
      <fieldGroup par="5"/>
    </cacheField>
    <cacheField name="Region" numFmtId="0">
      <sharedItems containsBlank="1" count="5">
        <s v="North"/>
        <s v="South"/>
        <s v="East"/>
        <m/>
        <s v="West"/>
      </sharedItems>
    </cacheField>
    <cacheField name="Product" numFmtId="0">
      <sharedItems containsBlank="1"/>
    </cacheField>
    <cacheField name="Sales Amount" numFmtId="0">
      <sharedItems containsString="0" containsBlank="1" containsNumber="1" containsInteger="1" minValue="4500" maxValue="52000"/>
    </cacheField>
    <cacheField name="Days (Date)" numFmtId="0" databaseField="0">
      <fieldGroup base="0">
        <rangePr groupBy="days" startDate="2025-01-01T00:00:00" endDate="2025-03-12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12/2025"/>
        </groupItems>
      </fieldGroup>
    </cacheField>
    <cacheField name="Months (Date)" numFmtId="0" databaseField="0">
      <fieldGroup base="0">
        <rangePr groupBy="months" startDate="2025-01-01T00:00:00" endDate="2025-03-12T00:00:00"/>
        <groupItems count="14">
          <s v="&lt;1/1/2025"/>
          <s v="Jan"/>
          <s v="Feb"/>
          <s v="Mar"/>
          <s v="Apr"/>
          <s v="May"/>
          <s v="Jun"/>
          <s v="Jul"/>
          <s v="Aug"/>
          <s v="Sep"/>
          <s v="Oct"/>
          <s v="Nov"/>
          <s v="Dec"/>
          <s v="&gt;3/12/2025"/>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ana" refreshedDate="45859.578716203701" createdVersion="8" refreshedVersion="8" minRefreshableVersion="3" recordCount="10" xr:uid="{182BDDBC-B716-4DBE-ACD7-4818A5BEE1A6}">
  <cacheSource type="worksheet">
    <worksheetSource ref="A1:K11" sheet="Section7"/>
  </cacheSource>
  <cacheFields count="16">
    <cacheField name="Sale ID" numFmtId="0">
      <sharedItems containsSemiMixedTypes="0" containsString="0" containsNumber="1" containsInteger="1" minValue="1001" maxValue="1010"/>
    </cacheField>
    <cacheField name="Date" numFmtId="14">
      <sharedItems containsSemiMixedTypes="0" containsNonDate="0" containsDate="1" containsString="0" minDate="2021-06-01T00:00:00" maxDate="2025-09-03T00:00:00" count="9">
        <d v="2021-06-01T00:00:00"/>
        <d v="2025-07-01T00:00:00"/>
        <d v="2024-06-02T00:00:00"/>
        <d v="2025-09-02T00:00:00"/>
        <d v="2024-07-03T00:00:00"/>
        <d v="2025-03-04T00:00:00"/>
        <d v="2022-07-05T00:00:00"/>
        <d v="2025-03-05T00:00:00"/>
        <d v="2022-02-06T00:00:00"/>
      </sharedItems>
      <fieldGroup par="12"/>
    </cacheField>
    <cacheField name="Customer Name" numFmtId="0">
      <sharedItems count="10">
        <s v="Aditi Mehra"/>
        <s v="Ravi Kumar"/>
        <s v="Sneha Kapoor"/>
        <s v="Arjun Singh"/>
        <s v="Karan Joshi"/>
        <s v="Tanya Sharma"/>
        <s v="Priya Verma"/>
        <s v="Meena Patel"/>
        <s v="Anil Kumar"/>
        <s v="Rina Reddy"/>
      </sharedItems>
      <fieldGroup par="14"/>
    </cacheField>
    <cacheField name="Product" numFmtId="0">
      <sharedItems count="7">
        <s v="Laptop"/>
        <s v="Mouse"/>
        <s v="Smartphone"/>
        <s v="Headphones"/>
        <s v="Tablet"/>
        <s v="Smartwatch"/>
        <s v="Keyboard"/>
      </sharedItems>
      <fieldGroup par="13"/>
    </cacheField>
    <cacheField name="Sales Amount" numFmtId="6">
      <sharedItems containsSemiMixedTypes="0" containsString="0" containsNumber="1" containsInteger="1" minValue="1200" maxValue="58000"/>
    </cacheField>
    <cacheField name="Year" numFmtId="0">
      <sharedItems containsSemiMixedTypes="0" containsString="0" containsNumber="1" containsInteger="1" minValue="2021" maxValue="2025"/>
    </cacheField>
    <cacheField name="Month" numFmtId="0">
      <sharedItems containsSemiMixedTypes="0" containsString="0" containsNumber="1" containsInteger="1" minValue="2" maxValue="9"/>
    </cacheField>
    <cacheField name="Day" numFmtId="0">
      <sharedItems containsSemiMixedTypes="0" containsString="0" containsNumber="1" containsInteger="1" minValue="1" maxValue="6"/>
    </cacheField>
    <cacheField name="Weeknum" numFmtId="0">
      <sharedItems containsSemiMixedTypes="0" containsString="0" containsNumber="1" containsInteger="1" minValue="7" maxValue="36"/>
    </cacheField>
    <cacheField name="Month/Year" numFmtId="0">
      <sharedItems/>
    </cacheField>
    <cacheField name="Month Name" numFmtId="0">
      <sharedItems/>
    </cacheField>
    <cacheField name="Quarters (Date)" numFmtId="0" databaseField="0">
      <fieldGroup base="1">
        <rangePr groupBy="quarters" startDate="2021-06-01T00:00:00" endDate="2025-09-03T00:00:00"/>
        <groupItems count="6">
          <s v="&lt;6/1/2021"/>
          <s v="Qtr1"/>
          <s v="Qtr2"/>
          <s v="Qtr3"/>
          <s v="Qtr4"/>
          <s v="&gt;9/3/2025"/>
        </groupItems>
      </fieldGroup>
    </cacheField>
    <cacheField name="Years (Date)" numFmtId="0" databaseField="0">
      <fieldGroup base="1">
        <rangePr groupBy="years" startDate="2021-06-01T00:00:00" endDate="2025-09-03T00:00:00"/>
        <groupItems count="7">
          <s v="&lt;6/1/2021"/>
          <s v="2021"/>
          <s v="2022"/>
          <s v="2023"/>
          <s v="2024"/>
          <s v="2025"/>
          <s v="&gt;9/3/2025"/>
        </groupItems>
      </fieldGroup>
    </cacheField>
    <cacheField name="Product2" numFmtId="0" databaseField="0">
      <fieldGroup base="3">
        <discretePr count="7">
          <x v="0"/>
          <x v="3"/>
          <x v="2"/>
          <x v="1"/>
          <x v="0"/>
          <x v="2"/>
          <x v="3"/>
        </discretePr>
        <groupItems count="4">
          <s v="Group1"/>
          <s v="Headphones"/>
          <s v="Group2"/>
          <s v="Group3"/>
        </groupItems>
      </fieldGroup>
    </cacheField>
    <cacheField name="Customer Name2" numFmtId="0" databaseField="0">
      <fieldGroup par="15" base="2">
        <discretePr count="10">
          <x v="3"/>
          <x v="0"/>
          <x v="4"/>
          <x v="5"/>
          <x v="6"/>
          <x v="4"/>
          <x v="4"/>
          <x v="3"/>
          <x v="1"/>
          <x v="2"/>
        </discretePr>
        <groupItems count="7">
          <s v="Ravi Kumar"/>
          <s v="Anil Kumar"/>
          <s v="Rina Reddy"/>
          <s v="Group1"/>
          <s v="Group2"/>
          <s v="Arjun Singh"/>
          <s v="Karan Joshi"/>
        </groupItems>
      </fieldGroup>
    </cacheField>
    <cacheField name="Customer Name3" numFmtId="0" databaseField="0">
      <fieldGroup base="2">
        <discretePr count="10">
          <x v="2"/>
          <x v="0"/>
          <x v="3"/>
          <x v="4"/>
          <x v="4"/>
          <x v="3"/>
          <x v="3"/>
          <x v="2"/>
          <x v="1"/>
          <x v="4"/>
        </discretePr>
        <groupItems count="5">
          <s v="Ravi Kumar"/>
          <s v="Anil Kumar"/>
          <s v="Group1"/>
          <s v="Group2"/>
          <s v="Group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x v="0"/>
    <n v="52000"/>
  </r>
  <r>
    <x v="1"/>
    <x v="0"/>
    <x v="1"/>
    <x v="1"/>
    <n v="1200"/>
  </r>
  <r>
    <x v="2"/>
    <x v="1"/>
    <x v="2"/>
    <x v="2"/>
    <n v="25000"/>
  </r>
  <r>
    <x v="3"/>
    <x v="1"/>
    <x v="3"/>
    <x v="3"/>
    <n v="4500"/>
  </r>
  <r>
    <x v="4"/>
    <x v="2"/>
    <x v="4"/>
    <x v="4"/>
    <n v="36000"/>
  </r>
  <r>
    <x v="5"/>
    <x v="2"/>
    <x v="5"/>
    <x v="2"/>
    <n v="44000"/>
  </r>
  <r>
    <x v="6"/>
    <x v="3"/>
    <x v="6"/>
    <x v="5"/>
    <n v="11000"/>
  </r>
  <r>
    <x v="7"/>
    <x v="4"/>
    <x v="7"/>
    <x v="0"/>
    <n v="58000"/>
  </r>
  <r>
    <x v="8"/>
    <x v="4"/>
    <x v="8"/>
    <x v="6"/>
    <n v="2000"/>
  </r>
  <r>
    <x v="9"/>
    <x v="5"/>
    <x v="9"/>
    <x v="4"/>
    <n v="38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Laptop"/>
    <n v="52000"/>
  </r>
  <r>
    <x v="1"/>
    <x v="1"/>
    <s v="Mouse"/>
    <m/>
  </r>
  <r>
    <x v="2"/>
    <x v="2"/>
    <m/>
    <n v="18000"/>
  </r>
  <r>
    <x v="3"/>
    <x v="0"/>
    <s v="Smartphone"/>
    <n v="25000"/>
  </r>
  <r>
    <x v="4"/>
    <x v="3"/>
    <s v="Headphones"/>
    <n v="4500"/>
  </r>
  <r>
    <x v="5"/>
    <x v="4"/>
    <s v="Tablet"/>
    <m/>
  </r>
  <r>
    <x v="6"/>
    <x v="1"/>
    <s v="Smartphone"/>
    <n v="44000"/>
  </r>
  <r>
    <x v="7"/>
    <x v="2"/>
    <s v="Smartwatch"/>
    <m/>
  </r>
  <r>
    <x v="8"/>
    <x v="4"/>
    <s v="Laptop"/>
    <n v="5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1001"/>
    <x v="0"/>
    <x v="0"/>
    <x v="0"/>
    <n v="52000"/>
    <n v="2021"/>
    <n v="6"/>
    <n v="1"/>
    <n v="23"/>
    <s v="Jun-2021"/>
    <s v="Tue"/>
  </r>
  <r>
    <n v="1002"/>
    <x v="1"/>
    <x v="1"/>
    <x v="1"/>
    <n v="1200"/>
    <n v="2025"/>
    <n v="7"/>
    <n v="1"/>
    <n v="27"/>
    <s v="Jul-2025"/>
    <s v="Tue"/>
  </r>
  <r>
    <n v="1003"/>
    <x v="2"/>
    <x v="2"/>
    <x v="2"/>
    <n v="25000"/>
    <n v="2024"/>
    <n v="6"/>
    <n v="2"/>
    <n v="23"/>
    <s v="Jun-2024"/>
    <s v="Sun"/>
  </r>
  <r>
    <n v="1004"/>
    <x v="3"/>
    <x v="3"/>
    <x v="3"/>
    <n v="4500"/>
    <n v="2025"/>
    <n v="9"/>
    <n v="2"/>
    <n v="36"/>
    <s v="Sep-2025"/>
    <s v="Tue"/>
  </r>
  <r>
    <n v="1005"/>
    <x v="4"/>
    <x v="4"/>
    <x v="4"/>
    <n v="36000"/>
    <n v="2024"/>
    <n v="7"/>
    <n v="3"/>
    <n v="27"/>
    <s v="Jul-2024"/>
    <s v="Wed"/>
  </r>
  <r>
    <n v="1006"/>
    <x v="4"/>
    <x v="5"/>
    <x v="2"/>
    <n v="44000"/>
    <n v="2024"/>
    <n v="7"/>
    <n v="3"/>
    <n v="27"/>
    <s v="Jul-2024"/>
    <s v="Wed"/>
  </r>
  <r>
    <n v="1007"/>
    <x v="5"/>
    <x v="6"/>
    <x v="5"/>
    <n v="11000"/>
    <n v="2025"/>
    <n v="3"/>
    <n v="4"/>
    <n v="10"/>
    <s v="Mar-2025"/>
    <s v="Tue"/>
  </r>
  <r>
    <n v="1008"/>
    <x v="6"/>
    <x v="7"/>
    <x v="0"/>
    <n v="58000"/>
    <n v="2022"/>
    <n v="7"/>
    <n v="5"/>
    <n v="28"/>
    <s v="Jul-2022"/>
    <s v="Tue"/>
  </r>
  <r>
    <n v="1009"/>
    <x v="7"/>
    <x v="8"/>
    <x v="6"/>
    <n v="2000"/>
    <n v="2025"/>
    <n v="3"/>
    <n v="5"/>
    <n v="10"/>
    <s v="Mar-2025"/>
    <s v="Wed"/>
  </r>
  <r>
    <n v="1010"/>
    <x v="8"/>
    <x v="9"/>
    <x v="4"/>
    <n v="38000"/>
    <n v="2022"/>
    <n v="2"/>
    <n v="6"/>
    <n v="7"/>
    <s v="Feb-2022"/>
    <s v="Su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A47B05-08F7-4498-B3DC-2F016DE353B1}"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7:B46" firstHeaderRow="1" firstDataRow="1" firstDataCol="1"/>
  <pivotFields count="7">
    <pivotField showAll="0"/>
    <pivotField axis="axisRow" numFmtId="14" showAll="0">
      <items count="7">
        <item x="0"/>
        <item x="1"/>
        <item x="2"/>
        <item x="3"/>
        <item x="4"/>
        <item x="5"/>
        <item t="default"/>
      </items>
    </pivotField>
    <pivotField showAll="0">
      <items count="11">
        <item x="0"/>
        <item x="8"/>
        <item x="3"/>
        <item x="4"/>
        <item x="7"/>
        <item x="6"/>
        <item x="1"/>
        <item x="9"/>
        <item x="2"/>
        <item x="5"/>
        <item t="default"/>
      </items>
    </pivotField>
    <pivotField dataField="1" showAll="0">
      <items count="8">
        <item x="0"/>
        <item x="4"/>
        <item x="2"/>
        <item x="3"/>
        <item x="5"/>
        <item x="6"/>
        <item x="1"/>
        <item t="default"/>
      </items>
    </pivotField>
    <pivotField numFmtId="6"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3">
    <field x="6"/>
    <field x="5"/>
    <field x="1"/>
  </rowFields>
  <rowItems count="14">
    <i>
      <x v="7"/>
    </i>
    <i r="1">
      <x v="183"/>
    </i>
    <i r="2">
      <x/>
    </i>
    <i r="1">
      <x v="184"/>
    </i>
    <i r="2">
      <x v="1"/>
    </i>
    <i r="1">
      <x v="185"/>
    </i>
    <i r="2">
      <x v="2"/>
    </i>
    <i r="1">
      <x v="186"/>
    </i>
    <i r="2">
      <x v="3"/>
    </i>
    <i r="1">
      <x v="187"/>
    </i>
    <i r="2">
      <x v="4"/>
    </i>
    <i r="1">
      <x v="188"/>
    </i>
    <i r="2">
      <x v="5"/>
    </i>
    <i t="grand">
      <x/>
    </i>
  </rowItems>
  <colItems count="1">
    <i/>
  </colItems>
  <dataFields count="1">
    <dataField name="Count of Product" fld="3"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BE088A-326D-4C6C-99EF-27150C2F92C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2:J33" firstHeaderRow="1" firstDataRow="1" firstDataCol="1"/>
  <pivotFields count="7">
    <pivotField dataField="1"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x="0"/>
        <item x="4"/>
        <item x="2"/>
        <item x="3"/>
        <item x="5"/>
        <item x="6"/>
        <item x="1"/>
        <item t="default"/>
      </items>
    </pivotField>
    <pivotField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i>
    <i>
      <x v="1"/>
    </i>
    <i>
      <x v="2"/>
    </i>
    <i>
      <x v="3"/>
    </i>
    <i>
      <x v="4"/>
    </i>
    <i>
      <x v="5"/>
    </i>
    <i>
      <x v="6"/>
    </i>
    <i>
      <x v="7"/>
    </i>
    <i>
      <x v="8"/>
    </i>
    <i>
      <x v="9"/>
    </i>
    <i t="grand">
      <x/>
    </i>
  </rowItems>
  <colItems count="1">
    <i/>
  </colItems>
  <dataFields count="1">
    <dataField name="Sum of Sale ID"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C0B13C-8096-4AEE-8A13-7663D008DE2A}"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9:J63" firstHeaderRow="1" firstDataRow="1" firstDataCol="1"/>
  <pivotFields count="7">
    <pivotField showAll="0"/>
    <pivotField axis="axisRow" numFmtId="14" showAll="0">
      <items count="7">
        <item x="0"/>
        <item x="1"/>
        <item x="2"/>
        <item x="3"/>
        <item x="4"/>
        <item x="5"/>
        <item t="default"/>
      </items>
    </pivotField>
    <pivotField showAll="0">
      <items count="11">
        <item x="0"/>
        <item x="8"/>
        <item x="3"/>
        <item x="4"/>
        <item x="7"/>
        <item x="6"/>
        <item x="1"/>
        <item x="9"/>
        <item x="2"/>
        <item x="5"/>
        <item t="default"/>
      </items>
    </pivotField>
    <pivotField showAll="0">
      <items count="8">
        <item x="0"/>
        <item x="4"/>
        <item x="2"/>
        <item x="3"/>
        <item x="5"/>
        <item x="6"/>
        <item x="1"/>
        <item t="default"/>
      </items>
    </pivotField>
    <pivotField dataField="1" numFmtId="6"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3">
    <field x="6"/>
    <field x="5"/>
    <field x="1"/>
  </rowFields>
  <rowItems count="14">
    <i>
      <x v="7"/>
    </i>
    <i r="1">
      <x v="183"/>
    </i>
    <i r="2">
      <x/>
    </i>
    <i r="1">
      <x v="184"/>
    </i>
    <i r="2">
      <x v="1"/>
    </i>
    <i r="1">
      <x v="185"/>
    </i>
    <i r="2">
      <x v="2"/>
    </i>
    <i r="1">
      <x v="186"/>
    </i>
    <i r="2">
      <x v="3"/>
    </i>
    <i r="1">
      <x v="187"/>
    </i>
    <i r="2">
      <x v="4"/>
    </i>
    <i r="1">
      <x v="188"/>
    </i>
    <i r="2">
      <x v="5"/>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5779CC-5931-4636-B556-EDDD8FC6A4F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2:G33" firstHeaderRow="1" firstDataRow="1" firstDataCol="1"/>
  <pivotFields count="7">
    <pivotField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x="0"/>
        <item x="4"/>
        <item x="2"/>
        <item x="3"/>
        <item x="5"/>
        <item x="6"/>
        <item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i>
    <i>
      <x v="1"/>
    </i>
    <i>
      <x v="2"/>
    </i>
    <i>
      <x v="3"/>
    </i>
    <i>
      <x v="4"/>
    </i>
    <i>
      <x v="5"/>
    </i>
    <i>
      <x v="6"/>
    </i>
    <i>
      <x v="7"/>
    </i>
    <i>
      <x v="8"/>
    </i>
    <i>
      <x v="9"/>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D37C6B-CFF7-4270-8751-32595F4054EF}"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41:S43" firstHeaderRow="1" firstDataRow="1" firstDataCol="1"/>
  <pivotFields count="7">
    <pivotField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h="1" x="0"/>
        <item h="1" x="4"/>
        <item h="1" x="2"/>
        <item h="1" x="3"/>
        <item h="1" x="5"/>
        <item x="6"/>
        <item h="1"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2">
    <i>
      <x v="1"/>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8E09F7-6903-47A1-A318-D184D7205A6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2:B34" firstHeaderRow="1" firstDataRow="1" firstDataCol="1"/>
  <pivotFields count="7">
    <pivotField showAll="0"/>
    <pivotField axis="axisRow" numFmtId="14" showAll="0">
      <items count="7">
        <item x="0"/>
        <item x="1"/>
        <item x="2"/>
        <item x="3"/>
        <item x="4"/>
        <item x="5"/>
        <item t="default"/>
      </items>
    </pivotField>
    <pivotField showAll="0"/>
    <pivotField showAll="0">
      <items count="8">
        <item x="0"/>
        <item x="4"/>
        <item x="2"/>
        <item x="3"/>
        <item x="5"/>
        <item x="6"/>
        <item x="1"/>
        <item t="default"/>
      </items>
    </pivotField>
    <pivotField dataField="1" numFmtId="6"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3">
    <field x="6"/>
    <field x="5"/>
    <field x="1"/>
  </rowFields>
  <rowItems count="14">
    <i>
      <x v="7"/>
    </i>
    <i r="1">
      <x v="183"/>
    </i>
    <i r="2">
      <x/>
    </i>
    <i r="1">
      <x v="184"/>
    </i>
    <i r="2">
      <x v="1"/>
    </i>
    <i r="1">
      <x v="185"/>
    </i>
    <i r="2">
      <x v="2"/>
    </i>
    <i r="1">
      <x v="186"/>
    </i>
    <i r="2">
      <x v="3"/>
    </i>
    <i r="1">
      <x v="187"/>
    </i>
    <i r="2">
      <x v="4"/>
    </i>
    <i r="1">
      <x v="188"/>
    </i>
    <i r="2">
      <x v="5"/>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9B6754-E7BC-4E41-BCBF-7342149391DF}"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1:J44" firstHeaderRow="1" firstDataRow="1" firstDataCol="1"/>
  <pivotFields count="7">
    <pivotField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x="0"/>
        <item h="1" x="4"/>
        <item h="1" x="2"/>
        <item h="1" x="3"/>
        <item h="1" x="5"/>
        <item h="1" x="6"/>
        <item h="1"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x v="4"/>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F552B87-4D30-4FC3-BC05-A25A704F862D}"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41:M44" firstHeaderRow="1" firstDataRow="1" firstDataCol="1"/>
  <pivotFields count="7">
    <pivotField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h="1" x="0"/>
        <item x="4"/>
        <item h="1" x="2"/>
        <item h="1" x="3"/>
        <item h="1" x="5"/>
        <item h="1" x="6"/>
        <item h="1"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v="3"/>
    </i>
    <i>
      <x v="7"/>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230020B-A2C2-484D-AFF3-F24D9901113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D19" firstHeaderRow="1" firstDataRow="2" firstDataCol="1" rowPageCount="1" colPageCount="1"/>
  <pivotFields count="7">
    <pivotField showAll="0"/>
    <pivotField axis="axisPage"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axis="axisCol" showAll="0">
      <items count="8">
        <item x="0"/>
        <item x="4"/>
        <item x="2"/>
        <item x="3"/>
        <item x="5"/>
        <item x="6"/>
        <item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i>
    <i>
      <x v="1"/>
    </i>
    <i>
      <x v="2"/>
    </i>
    <i>
      <x v="3"/>
    </i>
    <i>
      <x v="4"/>
    </i>
    <i>
      <x v="5"/>
    </i>
    <i>
      <x v="6"/>
    </i>
    <i>
      <x v="7"/>
    </i>
    <i>
      <x v="8"/>
    </i>
    <i>
      <x v="9"/>
    </i>
    <i t="grand">
      <x/>
    </i>
  </rowItems>
  <colFields count="1">
    <field x="3"/>
  </colFields>
  <colItems count="8">
    <i>
      <x/>
    </i>
    <i>
      <x v="1"/>
    </i>
    <i>
      <x v="2"/>
    </i>
    <i>
      <x v="3"/>
    </i>
    <i>
      <x v="4"/>
    </i>
    <i>
      <x v="5"/>
    </i>
    <i>
      <x v="6"/>
    </i>
    <i t="grand">
      <x/>
    </i>
  </colItems>
  <pageFields count="1">
    <pageField fld="1" hier="-1"/>
  </pageField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F350404-7CD7-4311-9B12-20F1493E0BA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7">
    <pivotField showAll="0"/>
    <pivotField numFmtId="14" showAll="0">
      <items count="7">
        <item x="0"/>
        <item x="1"/>
        <item x="2"/>
        <item x="3"/>
        <item x="4"/>
        <item x="5"/>
        <item t="default"/>
      </items>
    </pivotField>
    <pivotField showAll="0"/>
    <pivotField axis="axisRow" showAll="0">
      <items count="8">
        <item x="0"/>
        <item x="4"/>
        <item x="2"/>
        <item x="3"/>
        <item x="5"/>
        <item x="6"/>
        <item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8">
    <i>
      <x/>
    </i>
    <i>
      <x v="1"/>
    </i>
    <i>
      <x v="2"/>
    </i>
    <i>
      <x v="3"/>
    </i>
    <i>
      <x v="4"/>
    </i>
    <i>
      <x v="5"/>
    </i>
    <i>
      <x v="6"/>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D9EBDE-723A-4442-82CC-DCD837257785}"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22:M30" firstHeaderRow="1" firstDataRow="1" firstDataCol="1"/>
  <pivotFields count="7">
    <pivotField showAll="0">
      <items count="11">
        <item x="0"/>
        <item x="1"/>
        <item x="2"/>
        <item x="3"/>
        <item x="4"/>
        <item x="5"/>
        <item x="6"/>
        <item x="7"/>
        <item x="8"/>
        <item x="9"/>
        <item t="default"/>
      </items>
    </pivotField>
    <pivotField numFmtId="14" showAll="0">
      <items count="7">
        <item x="0"/>
        <item x="1"/>
        <item x="2"/>
        <item x="3"/>
        <item x="4"/>
        <item x="5"/>
        <item t="default"/>
      </items>
    </pivotField>
    <pivotField dataField="1" showAll="0">
      <items count="11">
        <item x="0"/>
        <item x="8"/>
        <item x="3"/>
        <item x="4"/>
        <item x="7"/>
        <item x="6"/>
        <item x="1"/>
        <item x="9"/>
        <item x="2"/>
        <item x="5"/>
        <item t="default"/>
      </items>
    </pivotField>
    <pivotField axis="axisRow" showAll="0">
      <items count="8">
        <item x="0"/>
        <item x="4"/>
        <item x="2"/>
        <item x="3"/>
        <item x="5"/>
        <item x="6"/>
        <item x="1"/>
        <item t="default"/>
      </items>
    </pivotField>
    <pivotField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8">
    <i>
      <x/>
    </i>
    <i>
      <x v="1"/>
    </i>
    <i>
      <x v="2"/>
    </i>
    <i>
      <x v="3"/>
    </i>
    <i>
      <x v="4"/>
    </i>
    <i>
      <x v="5"/>
    </i>
    <i>
      <x v="6"/>
    </i>
    <i t="grand">
      <x/>
    </i>
  </rowItems>
  <colItems count="1">
    <i/>
  </colItems>
  <dataFields count="1">
    <dataField name="Count of Customer Nam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E23CF20-9C00-44E4-8216-077C2E154842}"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41:P44" firstHeaderRow="1" firstDataRow="1" firstDataCol="1"/>
  <pivotFields count="7">
    <pivotField showAll="0"/>
    <pivotField numFmtId="14" showAll="0">
      <items count="7">
        <item x="0"/>
        <item x="1"/>
        <item x="2"/>
        <item x="3"/>
        <item x="4"/>
        <item x="5"/>
        <item t="default"/>
      </items>
    </pivotField>
    <pivotField axis="axisRow" showAll="0">
      <items count="11">
        <item x="0"/>
        <item x="8"/>
        <item x="3"/>
        <item x="4"/>
        <item x="7"/>
        <item x="6"/>
        <item x="1"/>
        <item x="9"/>
        <item x="2"/>
        <item x="5"/>
        <item t="default"/>
      </items>
    </pivotField>
    <pivotField showAll="0">
      <items count="8">
        <item h="1" x="0"/>
        <item h="1" x="4"/>
        <item x="2"/>
        <item h="1" x="3"/>
        <item h="1" x="5"/>
        <item h="1" x="6"/>
        <item h="1" x="1"/>
        <item t="default"/>
      </items>
    </pivotField>
    <pivotField dataField="1" numFmtId="6"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v="8"/>
    </i>
    <i>
      <x v="9"/>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BDC61AE-C145-43DF-9856-51C54773A340}"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3:B35" firstHeaderRow="1" firstDataRow="1" firstDataCol="1"/>
  <pivotFields count="16">
    <pivotField showAll="0"/>
    <pivotField numFmtId="14" showAll="0">
      <items count="10">
        <item x="0"/>
        <item x="8"/>
        <item x="6"/>
        <item x="2"/>
        <item x="4"/>
        <item x="5"/>
        <item x="7"/>
        <item x="1"/>
        <item x="3"/>
        <item t="default"/>
      </items>
    </pivotField>
    <pivotField showAll="0">
      <items count="11">
        <item x="0"/>
        <item x="8"/>
        <item x="3"/>
        <item x="4"/>
        <item x="7"/>
        <item x="6"/>
        <item x="1"/>
        <item x="9"/>
        <item x="2"/>
        <item x="5"/>
        <item t="default"/>
      </items>
    </pivotField>
    <pivotField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axis="axisRow" showAll="0">
      <items count="7">
        <item x="0"/>
        <item x="1"/>
        <item x="2"/>
        <item x="3"/>
        <item x="4"/>
        <item x="5"/>
        <item t="default"/>
      </items>
    </pivotField>
    <pivotField axis="axisRow" showAll="0">
      <items count="8">
        <item x="0"/>
        <item x="1"/>
        <item x="2"/>
        <item x="3"/>
        <item x="4"/>
        <item x="5"/>
        <item x="6"/>
        <item t="default"/>
      </items>
    </pivotField>
    <pivotField showAll="0">
      <items count="5">
        <item x="0"/>
        <item x="2"/>
        <item x="1"/>
        <item x="3"/>
        <item t="default"/>
      </items>
    </pivotField>
    <pivotField showAll="0">
      <items count="8">
        <item x="3"/>
        <item x="1"/>
        <item x="5"/>
        <item x="6"/>
        <item x="4"/>
        <item x="0"/>
        <item x="2"/>
        <item t="default"/>
      </items>
    </pivotField>
    <pivotField showAll="0">
      <items count="6">
        <item x="2"/>
        <item x="1"/>
        <item x="4"/>
        <item x="3"/>
        <item x="0"/>
        <item t="default"/>
      </items>
    </pivotField>
  </pivotFields>
  <rowFields count="2">
    <field x="12"/>
    <field x="11"/>
  </rowFields>
  <rowItems count="12">
    <i>
      <x v="1"/>
    </i>
    <i r="1">
      <x v="2"/>
    </i>
    <i>
      <x v="2"/>
    </i>
    <i r="1">
      <x v="1"/>
    </i>
    <i r="1">
      <x v="3"/>
    </i>
    <i>
      <x v="4"/>
    </i>
    <i r="1">
      <x v="2"/>
    </i>
    <i r="1">
      <x v="3"/>
    </i>
    <i>
      <x v="5"/>
    </i>
    <i r="1">
      <x v="1"/>
    </i>
    <i r="1">
      <x v="3"/>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FB74DCA-8365-40AD-8167-97D215357A06}" name="PivotTable2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76:M98" firstHeaderRow="1" firstDataRow="1" firstDataCol="1"/>
  <pivotFields count="16">
    <pivotField showAll="0"/>
    <pivotField numFmtId="14" showAll="0">
      <items count="10">
        <item x="0"/>
        <item x="8"/>
        <item x="6"/>
        <item x="2"/>
        <item x="4"/>
        <item x="5"/>
        <item x="7"/>
        <item x="1"/>
        <item x="3"/>
        <item t="default"/>
      </items>
    </pivotField>
    <pivotField axis="axisRow" showAll="0">
      <items count="11">
        <item x="0"/>
        <item x="8"/>
        <item x="3"/>
        <item x="4"/>
        <item x="7"/>
        <item x="6"/>
        <item x="1"/>
        <item x="9"/>
        <item x="2"/>
        <item x="5"/>
        <item t="default"/>
      </items>
    </pivotField>
    <pivotField axis="axisRow"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showAll="0" defaultSubtotal="0"/>
    <pivotField showAll="0" defaultSubtotal="0">
      <items count="7">
        <item x="0"/>
        <item x="1"/>
        <item x="2"/>
        <item x="3"/>
        <item x="4"/>
        <item x="5"/>
        <item x="6"/>
      </items>
    </pivotField>
    <pivotField axis="axisRow" showAll="0" defaultSubtotal="0">
      <items count="4">
        <item n="Electronics" x="0"/>
        <item n="Smart Items" x="2"/>
        <item x="1"/>
        <item n="Handy Iuse" x="3"/>
      </items>
    </pivotField>
    <pivotField showAll="0">
      <items count="8">
        <item x="3"/>
        <item x="1"/>
        <item x="5"/>
        <item x="6"/>
        <item x="4"/>
        <item x="0"/>
        <item x="2"/>
        <item t="default"/>
      </items>
    </pivotField>
    <pivotField showAll="0">
      <items count="6">
        <item x="2"/>
        <item x="1"/>
        <item x="4"/>
        <item x="3"/>
        <item x="0"/>
        <item t="default"/>
      </items>
    </pivotField>
  </pivotFields>
  <rowFields count="3">
    <field x="13"/>
    <field x="3"/>
    <field x="2"/>
  </rowFields>
  <rowItems count="22">
    <i>
      <x/>
    </i>
    <i r="1">
      <x/>
    </i>
    <i r="2">
      <x/>
    </i>
    <i r="2">
      <x v="4"/>
    </i>
    <i r="1">
      <x v="1"/>
    </i>
    <i r="2">
      <x v="3"/>
    </i>
    <i r="2">
      <x v="7"/>
    </i>
    <i>
      <x v="1"/>
    </i>
    <i r="1">
      <x v="2"/>
    </i>
    <i r="2">
      <x v="8"/>
    </i>
    <i r="2">
      <x v="9"/>
    </i>
    <i r="1">
      <x v="4"/>
    </i>
    <i r="2">
      <x v="5"/>
    </i>
    <i>
      <x v="2"/>
    </i>
    <i r="1">
      <x v="3"/>
    </i>
    <i r="2">
      <x v="2"/>
    </i>
    <i>
      <x v="3"/>
    </i>
    <i r="1">
      <x v="5"/>
    </i>
    <i r="2">
      <x v="1"/>
    </i>
    <i r="1">
      <x v="6"/>
    </i>
    <i r="2">
      <x v="6"/>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6A62369-541A-45F6-B57C-F59B3F3DEB56}" name="PivotTable2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1:I96" firstHeaderRow="1" firstDataRow="3" firstDataCol="1"/>
  <pivotFields count="16">
    <pivotField showAll="0"/>
    <pivotField numFmtId="14" showAll="0">
      <items count="10">
        <item x="0"/>
        <item x="8"/>
        <item x="6"/>
        <item x="2"/>
        <item x="4"/>
        <item x="5"/>
        <item x="7"/>
        <item x="1"/>
        <item x="3"/>
        <item t="default"/>
      </items>
    </pivotField>
    <pivotField axis="axisRow" showAll="0">
      <items count="11">
        <item x="0"/>
        <item x="8"/>
        <item x="3"/>
        <item x="4"/>
        <item x="7"/>
        <item x="6"/>
        <item x="1"/>
        <item x="9"/>
        <item x="2"/>
        <item x="5"/>
        <item t="default"/>
      </items>
    </pivotField>
    <pivotField axis="axisCol"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showAll="0" defaultSubtotal="0">
      <items count="6">
        <item sd="0" x="0"/>
        <item sd="0" x="1"/>
        <item x="2"/>
        <item sd="0" x="3"/>
        <item sd="0" x="4"/>
        <item sd="0" x="5"/>
      </items>
    </pivotField>
    <pivotField showAll="0" defaultSubtotal="0">
      <items count="7">
        <item sd="0" x="0"/>
        <item x="1"/>
        <item x="2"/>
        <item sd="0" x="3"/>
        <item sd="0" x="4"/>
        <item sd="0" x="5"/>
        <item sd="0" x="6"/>
      </items>
    </pivotField>
    <pivotField axis="axisCol" showAll="0" defaultSubtotal="0">
      <items count="4">
        <item x="0"/>
        <item x="2"/>
        <item x="1"/>
        <item x="3"/>
      </items>
    </pivotField>
    <pivotField axis="axisRow" showAll="0">
      <items count="8">
        <item x="3"/>
        <item x="1"/>
        <item x="5"/>
        <item x="6"/>
        <item x="4"/>
        <item x="0"/>
        <item x="2"/>
        <item t="default"/>
      </items>
    </pivotField>
    <pivotField axis="axisRow" showAll="0">
      <items count="6">
        <item x="2"/>
        <item x="1"/>
        <item x="4"/>
        <item x="3"/>
        <item x="0"/>
        <item t="default"/>
      </items>
    </pivotField>
  </pivotFields>
  <rowFields count="3">
    <field x="15"/>
    <field x="14"/>
    <field x="2"/>
  </rowFields>
  <rowItems count="23">
    <i>
      <x/>
    </i>
    <i r="1">
      <x/>
    </i>
    <i r="2">
      <x/>
    </i>
    <i r="2">
      <x v="4"/>
    </i>
    <i>
      <x v="1"/>
    </i>
    <i r="1">
      <x v="1"/>
    </i>
    <i r="2">
      <x v="1"/>
    </i>
    <i>
      <x v="2"/>
    </i>
    <i r="1">
      <x v="2"/>
    </i>
    <i r="2">
      <x v="2"/>
    </i>
    <i r="1">
      <x v="3"/>
    </i>
    <i r="2">
      <x v="3"/>
    </i>
    <i r="1">
      <x v="6"/>
    </i>
    <i r="2">
      <x v="7"/>
    </i>
    <i>
      <x v="3"/>
    </i>
    <i r="1">
      <x v="4"/>
    </i>
    <i r="2">
      <x v="5"/>
    </i>
    <i r="2">
      <x v="8"/>
    </i>
    <i r="2">
      <x v="9"/>
    </i>
    <i>
      <x v="4"/>
    </i>
    <i r="1">
      <x v="5"/>
    </i>
    <i r="2">
      <x v="6"/>
    </i>
    <i t="grand">
      <x/>
    </i>
  </rowItems>
  <colFields count="2">
    <field x="13"/>
    <field x="3"/>
  </colFields>
  <colItems count="8">
    <i>
      <x/>
      <x/>
    </i>
    <i r="1">
      <x v="1"/>
    </i>
    <i>
      <x v="1"/>
      <x v="2"/>
    </i>
    <i r="1">
      <x v="4"/>
    </i>
    <i>
      <x v="2"/>
      <x v="3"/>
    </i>
    <i>
      <x v="3"/>
      <x v="5"/>
    </i>
    <i r="1">
      <x v="6"/>
    </i>
    <i t="grand">
      <x/>
    </i>
  </colItems>
  <dataFields count="1">
    <dataField name="Sum of Sales Amount" fld="4" baseField="0" baseItem="0" numFmtId="6"/>
  </dataFields>
  <conditionalFormats count="1">
    <conditionalFormat priority="1">
      <pivotAreas count="1">
        <pivotArea type="data" grandCol="1" collapsedLevelsAreSubtotals="1" fieldPosition="0">
          <references count="2">
            <reference field="4294967294" count="1" selected="0">
              <x v="0"/>
            </reference>
            <reference field="2" count="10">
              <x v="0"/>
              <x v="1"/>
              <x v="2"/>
              <x v="3"/>
              <x v="4"/>
              <x v="5"/>
              <x v="6"/>
              <x v="7"/>
              <x v="8"/>
              <x v="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FF67FC0-F2E8-48FC-BB6C-FDA84F163539}" name="PivotTable3" cacheId="1" applyNumberFormats="0" applyBorderFormats="0" applyFontFormats="0" applyPatternFormats="0" applyAlignmentFormats="0" applyWidthHeightFormats="1" dataCaption="Values" missingCaption="N/A" updatedVersion="8" minRefreshableVersion="3" useAutoFormatting="1" itemPrintTitles="1" createdVersion="8" indent="0" outline="1" outlineData="1" multipleFieldFilters="0">
  <location ref="P5:Q18" firstHeaderRow="1" firstDataRow="1" firstDataCol="1"/>
  <pivotFields count="6">
    <pivotField numFmtId="15" showAll="0">
      <items count="10">
        <item x="0"/>
        <item x="1"/>
        <item x="2"/>
        <item x="3"/>
        <item x="4"/>
        <item x="5"/>
        <item x="6"/>
        <item x="7"/>
        <item x="8"/>
        <item t="default"/>
      </items>
    </pivotField>
    <pivotField showAll="0"/>
    <pivotField showAll="0"/>
    <pivotField dataField="1"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2">
    <field x="5"/>
    <field x="4"/>
  </rowFields>
  <rowItems count="13">
    <i>
      <x v="1"/>
    </i>
    <i r="1">
      <x v="1"/>
    </i>
    <i r="1">
      <x v="2"/>
    </i>
    <i r="1">
      <x v="5"/>
    </i>
    <i>
      <x v="2"/>
    </i>
    <i r="1">
      <x v="41"/>
    </i>
    <i r="1">
      <x v="45"/>
    </i>
    <i r="1">
      <x v="51"/>
    </i>
    <i>
      <x v="3"/>
    </i>
    <i r="1">
      <x v="61"/>
    </i>
    <i r="1">
      <x v="65"/>
    </i>
    <i r="1">
      <x v="71"/>
    </i>
    <i t="grand">
      <x/>
    </i>
  </rowItems>
  <colItems count="1">
    <i/>
  </colItems>
  <dataFields count="1">
    <dataField name="Sum of Sales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39C6AA9-9CC7-4B13-BEC3-9464326873B6}" name="PivotTable2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53:R72" firstHeaderRow="1" firstDataRow="3" firstDataCol="1"/>
  <pivotFields count="16">
    <pivotField showAll="0"/>
    <pivotField numFmtId="14" showAll="0">
      <items count="10">
        <item x="0"/>
        <item x="8"/>
        <item x="6"/>
        <item x="2"/>
        <item x="4"/>
        <item x="5"/>
        <item x="7"/>
        <item x="1"/>
        <item x="3"/>
        <item t="default"/>
      </items>
    </pivotField>
    <pivotField axis="axisRow" showAll="0">
      <items count="11">
        <item x="0"/>
        <item x="8"/>
        <item x="3"/>
        <item x="4"/>
        <item x="7"/>
        <item x="6"/>
        <item x="1"/>
        <item x="9"/>
        <item x="2"/>
        <item x="5"/>
        <item t="default"/>
      </items>
    </pivotField>
    <pivotField axis="axisCol"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showAll="0" defaultSubtotal="0"/>
    <pivotField showAll="0" defaultSubtotal="0">
      <items count="7">
        <item x="0"/>
        <item x="1"/>
        <item x="2"/>
        <item x="3"/>
        <item x="4"/>
        <item x="5"/>
        <item x="6"/>
      </items>
    </pivotField>
    <pivotField axis="axisCol" showAll="0" defaultSubtotal="0">
      <items count="4">
        <item x="0"/>
        <item x="2"/>
        <item x="1"/>
        <item x="3"/>
      </items>
    </pivotField>
    <pivotField axis="axisRow" showAll="0">
      <items count="8">
        <item x="3"/>
        <item x="1"/>
        <item x="5"/>
        <item x="6"/>
        <item x="4"/>
        <item x="0"/>
        <item x="2"/>
        <item t="default"/>
      </items>
    </pivotField>
    <pivotField axis="axisRow" showAll="0">
      <items count="6">
        <item x="2"/>
        <item x="1"/>
        <item x="4"/>
        <item x="3"/>
        <item x="0"/>
        <item t="default"/>
      </items>
    </pivotField>
  </pivotFields>
  <rowFields count="3">
    <field x="15"/>
    <field x="14"/>
    <field x="2"/>
  </rowFields>
  <rowItems count="23">
    <i>
      <x/>
    </i>
    <i r="1">
      <x/>
    </i>
    <i r="2">
      <x/>
    </i>
    <i r="2">
      <x v="4"/>
    </i>
    <i>
      <x v="1"/>
    </i>
    <i r="1">
      <x v="1"/>
    </i>
    <i r="2">
      <x v="1"/>
    </i>
    <i>
      <x v="2"/>
    </i>
    <i r="1">
      <x v="2"/>
    </i>
    <i r="2">
      <x v="2"/>
    </i>
    <i r="1">
      <x v="3"/>
    </i>
    <i r="2">
      <x v="3"/>
    </i>
    <i r="1">
      <x v="6"/>
    </i>
    <i r="2">
      <x v="7"/>
    </i>
    <i>
      <x v="3"/>
    </i>
    <i r="1">
      <x v="4"/>
    </i>
    <i r="2">
      <x v="5"/>
    </i>
    <i r="2">
      <x v="8"/>
    </i>
    <i r="2">
      <x v="9"/>
    </i>
    <i>
      <x v="4"/>
    </i>
    <i r="1">
      <x v="5"/>
    </i>
    <i r="2">
      <x v="6"/>
    </i>
    <i t="grand">
      <x/>
    </i>
  </rowItems>
  <colFields count="2">
    <field x="13"/>
    <field x="3"/>
  </colFields>
  <colItems count="8">
    <i>
      <x/>
      <x/>
    </i>
    <i r="1">
      <x v="1"/>
    </i>
    <i>
      <x v="1"/>
      <x v="2"/>
    </i>
    <i r="1">
      <x v="4"/>
    </i>
    <i>
      <x v="2"/>
      <x v="3"/>
    </i>
    <i>
      <x v="3"/>
      <x v="5"/>
    </i>
    <i r="1">
      <x v="6"/>
    </i>
    <i t="grand">
      <x/>
    </i>
  </colItems>
  <dataFields count="1">
    <dataField name="Sum of Sales Amount" fld="4" baseField="0" baseItem="0" numFmtId="6"/>
  </dataFields>
  <conditionalFormats count="1">
    <conditionalFormat priority="2">
      <pivotAreas count="1">
        <pivotArea type="data" grandCol="1" collapsedLevelsAreSubtotals="1" fieldPosition="0">
          <references count="2">
            <reference field="4294967294" count="1" selected="0">
              <x v="0"/>
            </reference>
            <reference field="2" count="10">
              <x v="0"/>
              <x v="1"/>
              <x v="2"/>
              <x v="3"/>
              <x v="4"/>
              <x v="5"/>
              <x v="6"/>
              <x v="7"/>
              <x v="8"/>
              <x v="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95C06AB-CD2A-4C94-BC26-D5D25BE59C6C}" name="PivotTable18" cacheId="1" applyNumberFormats="0" applyBorderFormats="0" applyFontFormats="0" applyPatternFormats="0" applyAlignmentFormats="0" applyWidthHeightFormats="1" dataCaption="Values" missingCaption="N/A" updatedVersion="8" minRefreshableVersion="3" useAutoFormatting="1" itemPrintTitles="1" createdVersion="8" indent="0" outline="1" outlineData="1" multipleFieldFilters="0">
  <location ref="J3:K25" firstHeaderRow="1" firstDataRow="1" firstDataCol="1"/>
  <pivotFields count="6">
    <pivotField axis="axisRow" numFmtId="15" showAll="0">
      <items count="10">
        <item x="0"/>
        <item x="1"/>
        <item x="2"/>
        <item x="3"/>
        <item x="4"/>
        <item x="5"/>
        <item x="6"/>
        <item x="7"/>
        <item x="8"/>
        <item t="default"/>
      </items>
    </pivotField>
    <pivotField showAll="0">
      <items count="6">
        <item x="2"/>
        <item x="0"/>
        <item x="1"/>
        <item x="4"/>
        <item x="3"/>
        <item t="default"/>
      </items>
    </pivotField>
    <pivotField showAll="0"/>
    <pivotField dataField="1"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3">
    <field x="5"/>
    <field x="4"/>
    <field x="0"/>
  </rowFields>
  <rowItems count="22">
    <i>
      <x v="1"/>
    </i>
    <i r="1">
      <x v="1"/>
    </i>
    <i r="2">
      <x/>
    </i>
    <i r="1">
      <x v="2"/>
    </i>
    <i r="2">
      <x v="1"/>
    </i>
    <i r="1">
      <x v="5"/>
    </i>
    <i r="2">
      <x v="2"/>
    </i>
    <i>
      <x v="2"/>
    </i>
    <i r="1">
      <x v="41"/>
    </i>
    <i r="2">
      <x v="3"/>
    </i>
    <i r="1">
      <x v="45"/>
    </i>
    <i r="2">
      <x v="4"/>
    </i>
    <i r="1">
      <x v="51"/>
    </i>
    <i r="2">
      <x v="5"/>
    </i>
    <i>
      <x v="3"/>
    </i>
    <i r="1">
      <x v="61"/>
    </i>
    <i r="2">
      <x v="6"/>
    </i>
    <i r="1">
      <x v="65"/>
    </i>
    <i r="2">
      <x v="7"/>
    </i>
    <i r="1">
      <x v="71"/>
    </i>
    <i r="2">
      <x v="8"/>
    </i>
    <i t="grand">
      <x/>
    </i>
  </rowItems>
  <colItems count="1">
    <i/>
  </colItems>
  <dataFields count="1">
    <dataField name="Sum of Sales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C81A994-97D9-4176-9031-553703F712DD}" name="PivotTable2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2:B64" firstHeaderRow="1" firstDataRow="1" firstDataCol="1"/>
  <pivotFields count="16">
    <pivotField showAll="0"/>
    <pivotField numFmtId="14" showAll="0">
      <items count="10">
        <item x="0"/>
        <item x="8"/>
        <item x="6"/>
        <item x="2"/>
        <item x="4"/>
        <item x="5"/>
        <item x="7"/>
        <item x="1"/>
        <item x="3"/>
        <item t="default"/>
      </items>
    </pivotField>
    <pivotField showAll="0">
      <items count="11">
        <item x="0"/>
        <item x="8"/>
        <item x="3"/>
        <item x="4"/>
        <item x="7"/>
        <item x="6"/>
        <item x="1"/>
        <item x="9"/>
        <item x="2"/>
        <item x="5"/>
        <item t="default"/>
      </items>
    </pivotField>
    <pivotField axis="axisRow"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showAll="0" defaultSubtotal="0"/>
    <pivotField showAll="0" defaultSubtotal="0">
      <items count="7">
        <item x="0"/>
        <item x="1"/>
        <item x="2"/>
        <item x="3"/>
        <item x="4"/>
        <item x="5"/>
        <item x="6"/>
      </items>
    </pivotField>
    <pivotField axis="axisRow" showAll="0">
      <items count="5">
        <item x="0"/>
        <item x="2"/>
        <item x="1"/>
        <item x="3"/>
        <item t="default"/>
      </items>
    </pivotField>
    <pivotField showAll="0">
      <items count="8">
        <item x="3"/>
        <item x="1"/>
        <item x="5"/>
        <item x="6"/>
        <item x="4"/>
        <item x="0"/>
        <item x="2"/>
        <item t="default"/>
      </items>
    </pivotField>
    <pivotField showAll="0">
      <items count="6">
        <item x="2"/>
        <item x="1"/>
        <item x="4"/>
        <item x="3"/>
        <item x="0"/>
        <item t="default"/>
      </items>
    </pivotField>
  </pivotFields>
  <rowFields count="2">
    <field x="13"/>
    <field x="3"/>
  </rowFields>
  <rowItems count="12">
    <i>
      <x/>
    </i>
    <i r="1">
      <x/>
    </i>
    <i r="1">
      <x v="1"/>
    </i>
    <i>
      <x v="1"/>
    </i>
    <i r="1">
      <x v="2"/>
    </i>
    <i r="1">
      <x v="4"/>
    </i>
    <i>
      <x v="2"/>
    </i>
    <i r="1">
      <x v="3"/>
    </i>
    <i>
      <x v="3"/>
    </i>
    <i r="1">
      <x v="5"/>
    </i>
    <i r="1">
      <x v="6"/>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7519AE0-4714-486C-9BD1-B90E9E5FA9CD}" name="PivotTable2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E44" firstHeaderRow="1" firstDataRow="1" firstDataCol="1"/>
  <pivotFields count="16">
    <pivotField showAll="0"/>
    <pivotField axis="axisRow" numFmtId="14" showAll="0">
      <items count="10">
        <item x="0"/>
        <item x="8"/>
        <item x="6"/>
        <item x="2"/>
        <item x="4"/>
        <item x="5"/>
        <item x="7"/>
        <item x="1"/>
        <item x="3"/>
        <item t="default"/>
      </items>
    </pivotField>
    <pivotField showAll="0">
      <items count="11">
        <item x="0"/>
        <item x="8"/>
        <item x="3"/>
        <item x="4"/>
        <item x="7"/>
        <item x="6"/>
        <item x="1"/>
        <item x="9"/>
        <item x="2"/>
        <item x="5"/>
        <item t="default"/>
      </items>
    </pivotField>
    <pivotField showAll="0">
      <items count="8">
        <item x="0"/>
        <item x="4"/>
        <item x="2"/>
        <item x="3"/>
        <item x="5"/>
        <item x="6"/>
        <item x="1"/>
        <item t="default"/>
      </items>
    </pivotField>
    <pivotField dataField="1" numFmtId="6" showAll="0"/>
    <pivotField showAll="0"/>
    <pivotField showAll="0"/>
    <pivotField showAll="0"/>
    <pivotField showAll="0"/>
    <pivotField showAll="0"/>
    <pivotField showAll="0"/>
    <pivotField axis="axisRow" showAll="0">
      <items count="7">
        <item x="0"/>
        <item x="1"/>
        <item x="2"/>
        <item x="3"/>
        <item x="4"/>
        <item x="5"/>
        <item t="default"/>
      </items>
    </pivotField>
    <pivotField axis="axisRow" showAll="0">
      <items count="8">
        <item x="0"/>
        <item x="1"/>
        <item x="2"/>
        <item x="3"/>
        <item x="4"/>
        <item x="5"/>
        <item x="6"/>
        <item t="default"/>
      </items>
    </pivotField>
    <pivotField showAll="0">
      <items count="5">
        <item x="0"/>
        <item x="2"/>
        <item x="1"/>
        <item x="3"/>
        <item t="default"/>
      </items>
    </pivotField>
    <pivotField showAll="0">
      <items count="8">
        <item x="3"/>
        <item x="1"/>
        <item x="5"/>
        <item x="6"/>
        <item x="4"/>
        <item x="0"/>
        <item x="2"/>
        <item t="default"/>
      </items>
    </pivotField>
    <pivotField showAll="0">
      <items count="6">
        <item x="2"/>
        <item x="1"/>
        <item x="4"/>
        <item x="3"/>
        <item x="0"/>
        <item t="default"/>
      </items>
    </pivotField>
  </pivotFields>
  <rowFields count="3">
    <field x="12"/>
    <field x="11"/>
    <field x="1"/>
  </rowFields>
  <rowItems count="21">
    <i>
      <x v="1"/>
    </i>
    <i r="1">
      <x v="2"/>
    </i>
    <i r="2">
      <x/>
    </i>
    <i>
      <x v="2"/>
    </i>
    <i r="1">
      <x v="1"/>
    </i>
    <i r="2">
      <x v="1"/>
    </i>
    <i r="1">
      <x v="3"/>
    </i>
    <i r="2">
      <x v="2"/>
    </i>
    <i>
      <x v="4"/>
    </i>
    <i r="1">
      <x v="2"/>
    </i>
    <i r="2">
      <x v="3"/>
    </i>
    <i r="1">
      <x v="3"/>
    </i>
    <i r="2">
      <x v="4"/>
    </i>
    <i>
      <x v="5"/>
    </i>
    <i r="1">
      <x v="1"/>
    </i>
    <i r="2">
      <x v="5"/>
    </i>
    <i r="2">
      <x v="6"/>
    </i>
    <i r="1">
      <x v="3"/>
    </i>
    <i r="2">
      <x v="7"/>
    </i>
    <i r="2">
      <x v="8"/>
    </i>
    <i t="grand">
      <x/>
    </i>
  </rowItems>
  <colItems count="1">
    <i/>
  </colItems>
  <dataFields count="1">
    <dataField name="Sum of Sales Amount" fld="4" baseField="0" baseItem="0"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1C2806D-24A2-49C8-9418-CFCFEA1CD190}" sourceName="Product">
  <pivotTables>
    <pivotTable tabId="16" name="PivotTable12"/>
  </pivotTables>
  <data>
    <tabular pivotCacheId="1417902229">
      <items count="7">
        <i x="0" s="1"/>
        <i x="4"/>
        <i x="2"/>
        <i x="3"/>
        <i x="5"/>
        <i x="6"/>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C4461011-7BAC-4C10-9F80-FE667E8B3D3F}" sourceName="Product">
  <pivotTables>
    <pivotTable tabId="16" name="PivotTable13"/>
  </pivotTables>
  <data>
    <tabular pivotCacheId="1417902229">
      <items count="7">
        <i x="0"/>
        <i x="4" s="1"/>
        <i x="2"/>
        <i x="3"/>
        <i x="5"/>
        <i x="6"/>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2" xr10:uid="{BA5BE7EC-71CD-4267-B551-FF2B65056B57}" sourceName="Product">
  <pivotTables>
    <pivotTable tabId="16" name="PivotTable14"/>
  </pivotTables>
  <data>
    <tabular pivotCacheId="1417902229">
      <items count="7">
        <i x="0"/>
        <i x="4"/>
        <i x="2" s="1"/>
        <i x="3"/>
        <i x="5"/>
        <i x="6"/>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3" xr10:uid="{198EBF13-8264-4676-A66F-B4F54CEFCB9F}" sourceName="Product">
  <pivotTables>
    <pivotTable tabId="16" name="PivotTable15"/>
  </pivotTables>
  <data>
    <tabular pivotCacheId="1417902229">
      <items count="7">
        <i x="0"/>
        <i x="4"/>
        <i x="2"/>
        <i x="3"/>
        <i x="5"/>
        <i x="6"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D5DCC427-52FB-4FF1-8DA4-551DF2E4C367}" cache="Slicer_Product" caption="Product" rowHeight="257175"/>
  <slicer name="Product 1" xr10:uid="{619626C8-EA68-478B-ADA0-8D738F097517}" cache="Slicer_Product1" caption="Product" rowHeight="257175"/>
  <slicer name="Product 2" xr10:uid="{A370C3C9-8CB2-4A24-AAF4-A853C84AD0A2}" cache="Slicer_Product2" caption="Product" rowHeight="257175"/>
  <slicer name="Product 3" xr10:uid="{0905C9F4-7568-444F-A33A-A9340D85EE5C}" cache="Slicer_Product3" caption="Product"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36A94A0-1E49-4FA3-A5A9-A1FA02B220DD}" name="Table2" displayName="Table2" ref="D31:H36" totalsRowShown="0" headerRowDxfId="27" dataDxfId="26">
  <autoFilter ref="D31:H36" xr:uid="{E36A94A0-1E49-4FA3-A5A9-A1FA02B220DD}"/>
  <tableColumns count="5">
    <tableColumn id="1" xr3:uid="{D09E206E-30B1-4424-8F1E-56865DFCAA47}" name="Week" dataDxfId="25"/>
    <tableColumn id="2" xr3:uid="{5C9C2188-CE6B-4082-836C-563D0C95D6DD}" name="Direct" dataDxfId="24"/>
    <tableColumn id="3" xr3:uid="{2158637D-EBC7-47CC-8AA5-7D688F21EA32}" name="Organic" dataDxfId="23"/>
    <tableColumn id="4" xr3:uid="{53344924-1BCD-45B3-A385-CAC68F90F83E}" name="Social" dataDxfId="22"/>
    <tableColumn id="5" xr3:uid="{CCBE81CD-AE2F-44F8-9493-3CCAA06B74B8}" name="Referral"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hyperlink" Target="mailto:aditi.sharma@gmail.com" TargetMode="External"/><Relationship Id="rId13" Type="http://schemas.openxmlformats.org/officeDocument/2006/relationships/hyperlink" Target="mailto:arjun.singh@company.org" TargetMode="External"/><Relationship Id="rId18" Type="http://schemas.openxmlformats.org/officeDocument/2006/relationships/hyperlink" Target="mailto:karanj1990@rediffmail.com" TargetMode="External"/><Relationship Id="rId26" Type="http://schemas.openxmlformats.org/officeDocument/2006/relationships/hyperlink" Target="mailto:priya_v88@gmail.com" TargetMode="External"/><Relationship Id="rId3" Type="http://schemas.openxmlformats.org/officeDocument/2006/relationships/hyperlink" Target="mailto:sneha.kapoor@outlook.com" TargetMode="External"/><Relationship Id="rId21" Type="http://schemas.openxmlformats.org/officeDocument/2006/relationships/hyperlink" Target="mailto:tmishra@hotmail.com" TargetMode="External"/><Relationship Id="rId7" Type="http://schemas.openxmlformats.org/officeDocument/2006/relationships/hyperlink" Target="mailto:tmishra@hotmail.com" TargetMode="External"/><Relationship Id="rId12" Type="http://schemas.openxmlformats.org/officeDocument/2006/relationships/hyperlink" Target="mailto:priya_v88@gmail.com" TargetMode="External"/><Relationship Id="rId17" Type="http://schemas.openxmlformats.org/officeDocument/2006/relationships/hyperlink" Target="mailto:sneha.kapoor@outlook.com" TargetMode="External"/><Relationship Id="rId25" Type="http://schemas.openxmlformats.org/officeDocument/2006/relationships/hyperlink" Target="mailto:karanj1990@rediffmail.com" TargetMode="External"/><Relationship Id="rId2" Type="http://schemas.openxmlformats.org/officeDocument/2006/relationships/hyperlink" Target="mailto:rahul_23@yahoo.com" TargetMode="External"/><Relationship Id="rId16" Type="http://schemas.openxmlformats.org/officeDocument/2006/relationships/hyperlink" Target="mailto:rahul_23@yahoo.com" TargetMode="External"/><Relationship Id="rId20" Type="http://schemas.openxmlformats.org/officeDocument/2006/relationships/hyperlink" Target="mailto:arjun.singh@company.org" TargetMode="External"/><Relationship Id="rId29" Type="http://schemas.openxmlformats.org/officeDocument/2006/relationships/drawing" Target="../drawings/drawing3.xml"/><Relationship Id="rId1" Type="http://schemas.openxmlformats.org/officeDocument/2006/relationships/hyperlink" Target="mailto:aditi.sharma@gmail.com" TargetMode="External"/><Relationship Id="rId6" Type="http://schemas.openxmlformats.org/officeDocument/2006/relationships/hyperlink" Target="mailto:arjun.singh@company.org" TargetMode="External"/><Relationship Id="rId11" Type="http://schemas.openxmlformats.org/officeDocument/2006/relationships/hyperlink" Target="mailto:karanj1990@rediffmail.com" TargetMode="External"/><Relationship Id="rId24" Type="http://schemas.openxmlformats.org/officeDocument/2006/relationships/hyperlink" Target="mailto:sneha.kapoor@outlook.com" TargetMode="External"/><Relationship Id="rId5" Type="http://schemas.openxmlformats.org/officeDocument/2006/relationships/hyperlink" Target="mailto:priya_v88@gmail.com" TargetMode="External"/><Relationship Id="rId15" Type="http://schemas.openxmlformats.org/officeDocument/2006/relationships/hyperlink" Target="mailto:aditi.sharma@gmail.com" TargetMode="External"/><Relationship Id="rId23" Type="http://schemas.openxmlformats.org/officeDocument/2006/relationships/hyperlink" Target="mailto:rahul_23@yahoo.com" TargetMode="External"/><Relationship Id="rId28" Type="http://schemas.openxmlformats.org/officeDocument/2006/relationships/hyperlink" Target="mailto:tmishra@hotmail.com" TargetMode="External"/><Relationship Id="rId10" Type="http://schemas.openxmlformats.org/officeDocument/2006/relationships/hyperlink" Target="mailto:sneha.kapoor@outlook.com" TargetMode="External"/><Relationship Id="rId19" Type="http://schemas.openxmlformats.org/officeDocument/2006/relationships/hyperlink" Target="mailto:priya_v88@gmail.com" TargetMode="External"/><Relationship Id="rId4" Type="http://schemas.openxmlformats.org/officeDocument/2006/relationships/hyperlink" Target="mailto:karanj1990@rediffmail.com" TargetMode="External"/><Relationship Id="rId9" Type="http://schemas.openxmlformats.org/officeDocument/2006/relationships/hyperlink" Target="mailto:rahul_23@yahoo.com" TargetMode="External"/><Relationship Id="rId14" Type="http://schemas.openxmlformats.org/officeDocument/2006/relationships/hyperlink" Target="mailto:tmishra@hotmail.com" TargetMode="External"/><Relationship Id="rId22" Type="http://schemas.openxmlformats.org/officeDocument/2006/relationships/hyperlink" Target="mailto:aditi.sharma@gmail.com" TargetMode="External"/><Relationship Id="rId27" Type="http://schemas.openxmlformats.org/officeDocument/2006/relationships/hyperlink" Target="mailto:arjun.singh@company.org" TargetMode="Externa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20.xml"/><Relationship Id="rId3" Type="http://schemas.openxmlformats.org/officeDocument/2006/relationships/pivotTable" Target="../pivotTables/pivotTable15.xml"/><Relationship Id="rId7" Type="http://schemas.openxmlformats.org/officeDocument/2006/relationships/pivotTable" Target="../pivotTables/pivotTable19.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5970E-8B52-4C0C-8447-685CCE90FB3F}">
  <sheetPr codeName="Sheet1"/>
  <dimension ref="A1:M13"/>
  <sheetViews>
    <sheetView workbookViewId="0">
      <selection activeCell="L9" sqref="L9"/>
    </sheetView>
  </sheetViews>
  <sheetFormatPr defaultRowHeight="15"/>
  <cols>
    <col min="1" max="1" width="11.5703125" customWidth="1"/>
    <col min="7" max="7" width="12.5703125" bestFit="1" customWidth="1"/>
    <col min="9" max="9" width="12.28515625" bestFit="1" customWidth="1"/>
    <col min="11" max="11" width="14.28515625" bestFit="1" customWidth="1"/>
    <col min="13" max="13" width="14.28515625" bestFit="1" customWidth="1"/>
  </cols>
  <sheetData>
    <row r="1" spans="1:13">
      <c r="A1" s="1" t="s">
        <v>0</v>
      </c>
      <c r="B1" s="1" t="s">
        <v>1</v>
      </c>
    </row>
    <row r="2" spans="1:13">
      <c r="A2" s="2" t="s">
        <v>2</v>
      </c>
      <c r="B2" s="3">
        <v>85000</v>
      </c>
      <c r="D2" s="4" t="s">
        <v>14</v>
      </c>
      <c r="G2" s="6" t="s">
        <v>15</v>
      </c>
      <c r="I2" s="8" t="s">
        <v>16</v>
      </c>
      <c r="K2" s="10" t="s">
        <v>17</v>
      </c>
      <c r="M2" s="11" t="s">
        <v>18</v>
      </c>
    </row>
    <row r="3" spans="1:13">
      <c r="A3" s="2" t="s">
        <v>3</v>
      </c>
      <c r="B3" s="3">
        <v>78500</v>
      </c>
      <c r="D3" s="5">
        <f>SUM(B2:B13)</f>
        <v>1119400</v>
      </c>
      <c r="G3" s="7">
        <f>MAX(B2:B13)</f>
        <v>105000</v>
      </c>
      <c r="I3" s="9">
        <f>MIN(B2:B13)</f>
        <v>78500</v>
      </c>
      <c r="K3" s="10">
        <f>SMALL(B2:B13, 2)</f>
        <v>85000</v>
      </c>
      <c r="M3" s="12">
        <f>LARGE(B2:B13, 3)</f>
        <v>99800</v>
      </c>
    </row>
    <row r="4" spans="1:13">
      <c r="A4" s="2" t="s">
        <v>4</v>
      </c>
      <c r="B4" s="3">
        <v>92300</v>
      </c>
      <c r="G4" s="6" t="str">
        <f>INDEX(A2:A13, MATCH(MAX(B2:B13), B2:B13, 0))</f>
        <v>December</v>
      </c>
      <c r="I4" s="8" t="str">
        <f>INDEX(A2:A13, MATCH(MIN(B2:B13), B2:B13, 0))</f>
        <v>February</v>
      </c>
      <c r="K4" s="10" t="str">
        <f>INDEX(A2:A13, MATCH(SMALL(B2:B13, 2), B2:B13, 0))</f>
        <v>January</v>
      </c>
      <c r="M4" s="12" t="str">
        <f>INDEX(A2:A13, MATCH(LARGE(B2:B13, 3), B2:B13, 0))</f>
        <v>November</v>
      </c>
    </row>
    <row r="5" spans="1:13">
      <c r="A5" s="2" t="s">
        <v>5</v>
      </c>
      <c r="B5" s="3">
        <v>88700</v>
      </c>
    </row>
    <row r="6" spans="1:13">
      <c r="A6" s="2" t="s">
        <v>6</v>
      </c>
      <c r="B6" s="3">
        <v>95200</v>
      </c>
      <c r="M6" s="11" t="s">
        <v>19</v>
      </c>
    </row>
    <row r="7" spans="1:13">
      <c r="A7" s="2" t="s">
        <v>7</v>
      </c>
      <c r="B7" s="3">
        <v>90100</v>
      </c>
      <c r="M7" s="12">
        <f>MEDIAN(B2:B13)</f>
        <v>93300</v>
      </c>
    </row>
    <row r="8" spans="1:13">
      <c r="A8" s="2" t="s">
        <v>8</v>
      </c>
      <c r="B8" s="3">
        <v>98400</v>
      </c>
    </row>
    <row r="9" spans="1:13">
      <c r="A9" s="2" t="s">
        <v>9</v>
      </c>
      <c r="B9" s="3">
        <v>102600</v>
      </c>
    </row>
    <row r="10" spans="1:13">
      <c r="A10" s="2" t="s">
        <v>10</v>
      </c>
      <c r="B10" s="3">
        <v>89500</v>
      </c>
    </row>
    <row r="11" spans="1:13">
      <c r="A11" s="2" t="s">
        <v>11</v>
      </c>
      <c r="B11" s="3">
        <v>94300</v>
      </c>
    </row>
    <row r="12" spans="1:13">
      <c r="A12" s="2" t="s">
        <v>12</v>
      </c>
      <c r="B12" s="3">
        <v>99800</v>
      </c>
    </row>
    <row r="13" spans="1:13">
      <c r="A13" s="2" t="s">
        <v>13</v>
      </c>
      <c r="B13" s="3">
        <v>105000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066C-4E76-4344-9BCF-80CC6B93B26A}">
  <sheetPr codeName="Sheet2"/>
  <dimension ref="A1:P42"/>
  <sheetViews>
    <sheetView workbookViewId="0">
      <selection activeCell="D12" sqref="D12"/>
    </sheetView>
  </sheetViews>
  <sheetFormatPr defaultRowHeight="15"/>
  <cols>
    <col min="1" max="1" width="14" customWidth="1"/>
    <col min="2" max="2" width="10.85546875" customWidth="1"/>
    <col min="4" max="4" width="10.7109375" bestFit="1" customWidth="1"/>
    <col min="5" max="5" width="13.140625" customWidth="1"/>
    <col min="6" max="6" width="12.42578125" bestFit="1" customWidth="1"/>
    <col min="7" max="7" width="14" customWidth="1"/>
    <col min="8" max="8" width="12.140625" customWidth="1"/>
    <col min="13" max="13" width="10.28515625" bestFit="1" customWidth="1"/>
    <col min="15" max="15" width="10" bestFit="1" customWidth="1"/>
    <col min="16" max="16" width="9.85546875" bestFit="1" customWidth="1"/>
  </cols>
  <sheetData>
    <row r="1" spans="1:16">
      <c r="A1" s="1" t="s">
        <v>37</v>
      </c>
      <c r="B1" s="439" t="s">
        <v>38</v>
      </c>
    </row>
    <row r="2" spans="1:16">
      <c r="A2" s="2" t="s">
        <v>2</v>
      </c>
      <c r="B2" s="3">
        <v>72400</v>
      </c>
    </row>
    <row r="3" spans="1:16">
      <c r="A3" s="2" t="s">
        <v>3</v>
      </c>
      <c r="B3" s="3">
        <v>80300</v>
      </c>
    </row>
    <row r="4" spans="1:16">
      <c r="A4" s="2" t="s">
        <v>4</v>
      </c>
      <c r="B4" s="3">
        <v>76500</v>
      </c>
      <c r="D4" s="13" t="s">
        <v>0</v>
      </c>
      <c r="E4" s="13" t="s">
        <v>2</v>
      </c>
      <c r="F4" s="13" t="s">
        <v>3</v>
      </c>
      <c r="G4" s="13" t="s">
        <v>4</v>
      </c>
      <c r="H4" s="13" t="s">
        <v>5</v>
      </c>
      <c r="I4" s="13" t="s">
        <v>6</v>
      </c>
      <c r="J4" s="13" t="s">
        <v>7</v>
      </c>
      <c r="K4" s="13" t="s">
        <v>8</v>
      </c>
      <c r="L4" s="13" t="s">
        <v>9</v>
      </c>
      <c r="M4" s="13" t="s">
        <v>10</v>
      </c>
      <c r="N4" s="13" t="s">
        <v>11</v>
      </c>
      <c r="O4" s="13" t="s">
        <v>12</v>
      </c>
      <c r="P4" s="13" t="s">
        <v>13</v>
      </c>
    </row>
    <row r="5" spans="1:16">
      <c r="A5" s="2" t="s">
        <v>5</v>
      </c>
      <c r="B5" s="3">
        <v>83200</v>
      </c>
      <c r="D5" s="13" t="s">
        <v>20</v>
      </c>
      <c r="E5" s="14">
        <v>72000</v>
      </c>
      <c r="F5" s="14">
        <v>80300</v>
      </c>
      <c r="G5" s="14">
        <v>76500</v>
      </c>
      <c r="H5" s="14">
        <v>83200</v>
      </c>
      <c r="I5" s="14">
        <v>90100</v>
      </c>
      <c r="J5" s="14">
        <v>86400</v>
      </c>
      <c r="K5" s="14">
        <v>92700</v>
      </c>
      <c r="L5" s="14">
        <v>95600</v>
      </c>
      <c r="M5" s="14">
        <v>78900</v>
      </c>
      <c r="N5" s="14">
        <v>88300</v>
      </c>
      <c r="O5" s="14">
        <v>93800</v>
      </c>
      <c r="P5" s="14">
        <v>97500</v>
      </c>
    </row>
    <row r="6" spans="1:16">
      <c r="A6" s="2" t="s">
        <v>6</v>
      </c>
      <c r="B6" s="3">
        <v>90100</v>
      </c>
    </row>
    <row r="7" spans="1:16">
      <c r="A7" s="2" t="s">
        <v>7</v>
      </c>
      <c r="B7" s="3">
        <v>86400</v>
      </c>
    </row>
    <row r="8" spans="1:16">
      <c r="A8" s="2" t="s">
        <v>8</v>
      </c>
      <c r="B8" s="3">
        <v>92700</v>
      </c>
      <c r="D8" s="19" t="str" cm="1">
        <f t="array" ref="D8:P9">TRANSPOSE(A1:B13)</f>
        <v>Months</v>
      </c>
      <c r="E8" s="19" t="str">
        <v>January</v>
      </c>
      <c r="F8" s="19" t="str">
        <v>February</v>
      </c>
      <c r="G8" s="19" t="str">
        <v>March</v>
      </c>
      <c r="H8" s="19" t="str">
        <v>April</v>
      </c>
      <c r="I8" s="19" t="str">
        <v>May</v>
      </c>
      <c r="J8" s="19" t="str">
        <v>June</v>
      </c>
      <c r="K8" s="19" t="str">
        <v>July</v>
      </c>
      <c r="L8" s="19" t="str">
        <v>August</v>
      </c>
      <c r="M8" s="19" t="str">
        <v>September</v>
      </c>
      <c r="N8" s="19" t="str">
        <v>October</v>
      </c>
      <c r="O8" s="19" t="str">
        <v>November</v>
      </c>
      <c r="P8" s="19" t="str">
        <v>December</v>
      </c>
    </row>
    <row r="9" spans="1:16">
      <c r="A9" s="2" t="s">
        <v>9</v>
      </c>
      <c r="B9" s="3">
        <v>95600</v>
      </c>
      <c r="D9" s="19" t="str">
        <v>SalesSales</v>
      </c>
      <c r="E9" s="19">
        <v>72400</v>
      </c>
      <c r="F9" s="19">
        <v>80300</v>
      </c>
      <c r="G9" s="19">
        <v>76500</v>
      </c>
      <c r="H9" s="19">
        <v>83200</v>
      </c>
      <c r="I9" s="19">
        <v>90100</v>
      </c>
      <c r="J9" s="19">
        <v>86400</v>
      </c>
      <c r="K9" s="19">
        <v>92700</v>
      </c>
      <c r="L9" s="19">
        <v>95600</v>
      </c>
      <c r="M9" s="19">
        <v>78900</v>
      </c>
      <c r="N9" s="19">
        <v>88300</v>
      </c>
      <c r="O9" s="19">
        <v>93800</v>
      </c>
      <c r="P9" s="19">
        <v>97500</v>
      </c>
    </row>
    <row r="10" spans="1:16">
      <c r="A10" s="2" t="s">
        <v>10</v>
      </c>
      <c r="B10" s="3">
        <v>78900</v>
      </c>
    </row>
    <row r="11" spans="1:16">
      <c r="A11" s="2" t="s">
        <v>11</v>
      </c>
      <c r="B11" s="3">
        <v>88300</v>
      </c>
    </row>
    <row r="12" spans="1:16">
      <c r="A12" s="2" t="s">
        <v>12</v>
      </c>
      <c r="B12" s="3">
        <v>93800</v>
      </c>
      <c r="H12" t="s">
        <v>21</v>
      </c>
    </row>
    <row r="13" spans="1:16" ht="18" customHeight="1">
      <c r="A13" s="2" t="s">
        <v>13</v>
      </c>
      <c r="B13" s="3">
        <v>97500</v>
      </c>
      <c r="H13" s="17" t="s">
        <v>23</v>
      </c>
      <c r="I13" s="18"/>
      <c r="K13" s="17" t="s">
        <v>22</v>
      </c>
      <c r="L13" s="17"/>
    </row>
    <row r="15" spans="1:16">
      <c r="E15" s="15" t="s">
        <v>24</v>
      </c>
      <c r="F15" s="15"/>
      <c r="G15" s="15"/>
      <c r="H15" s="15"/>
      <c r="I15" s="15"/>
      <c r="K15" s="15" t="s">
        <v>27</v>
      </c>
      <c r="L15" s="15"/>
      <c r="M15" s="15"/>
      <c r="N15" s="15"/>
      <c r="O15" s="15"/>
      <c r="P15" s="15"/>
    </row>
    <row r="16" spans="1:16">
      <c r="E16" s="15" t="s">
        <v>25</v>
      </c>
      <c r="F16" s="15"/>
      <c r="G16" s="15"/>
      <c r="H16" s="15"/>
      <c r="I16" s="15"/>
      <c r="K16" s="15" t="s">
        <v>28</v>
      </c>
      <c r="L16" s="15"/>
      <c r="M16" s="15"/>
      <c r="N16" s="15"/>
      <c r="O16" s="15"/>
      <c r="P16" s="15"/>
    </row>
    <row r="17" spans="4:16">
      <c r="E17" s="15" t="s">
        <v>26</v>
      </c>
      <c r="F17" s="15"/>
      <c r="G17" s="15"/>
      <c r="H17" s="15"/>
      <c r="I17" s="15"/>
      <c r="K17" s="15" t="s">
        <v>29</v>
      </c>
      <c r="L17" s="15"/>
      <c r="M17" s="15"/>
      <c r="N17" s="15"/>
      <c r="O17" s="15"/>
      <c r="P17" s="15"/>
    </row>
    <row r="20" spans="4:16">
      <c r="G20" s="21" t="s">
        <v>30</v>
      </c>
      <c r="H20" s="21"/>
      <c r="I20" s="21"/>
      <c r="J20" s="21"/>
      <c r="K20" s="21"/>
    </row>
    <row r="21" spans="4:16">
      <c r="G21" s="16"/>
      <c r="I21" s="22"/>
    </row>
    <row r="22" spans="4:16">
      <c r="G22" s="13" t="s">
        <v>31</v>
      </c>
      <c r="H22" s="13"/>
      <c r="I22" s="13"/>
    </row>
    <row r="23" spans="4:16">
      <c r="G23" s="13" t="s">
        <v>32</v>
      </c>
      <c r="H23" s="13"/>
      <c r="I23" s="13"/>
    </row>
    <row r="24" spans="4:16">
      <c r="G24" s="13" t="s">
        <v>34</v>
      </c>
      <c r="H24" s="13"/>
      <c r="I24" s="13"/>
    </row>
    <row r="25" spans="4:16">
      <c r="G25" s="13" t="s">
        <v>35</v>
      </c>
      <c r="H25" s="13"/>
      <c r="I25" s="13"/>
    </row>
    <row r="26" spans="4:16">
      <c r="G26" s="13" t="s">
        <v>33</v>
      </c>
      <c r="H26" s="13"/>
      <c r="I26" s="13"/>
    </row>
    <row r="29" spans="4:16">
      <c r="E29" s="24" t="s">
        <v>36</v>
      </c>
      <c r="F29" s="25"/>
      <c r="G29" s="25"/>
      <c r="H29" s="25"/>
      <c r="I29" s="25"/>
      <c r="J29" s="25"/>
      <c r="K29" s="25"/>
      <c r="L29" s="25"/>
      <c r="M29" s="25"/>
      <c r="N29" s="25"/>
      <c r="O29" s="26"/>
    </row>
    <row r="31" spans="4:16">
      <c r="D31" s="27" t="s">
        <v>39</v>
      </c>
      <c r="E31" s="27" t="s">
        <v>40</v>
      </c>
      <c r="F31" s="27" t="s">
        <v>41</v>
      </c>
      <c r="G31" s="27" t="s">
        <v>42</v>
      </c>
      <c r="H31" s="27" t="s">
        <v>43</v>
      </c>
    </row>
    <row r="32" spans="4:16">
      <c r="D32" s="28" t="s">
        <v>44</v>
      </c>
      <c r="E32" s="28">
        <v>350</v>
      </c>
      <c r="F32" s="28">
        <v>420</v>
      </c>
      <c r="G32" s="28">
        <v>180</v>
      </c>
      <c r="H32" s="28">
        <v>200</v>
      </c>
    </row>
    <row r="33" spans="4:13">
      <c r="D33" s="28" t="s">
        <v>45</v>
      </c>
      <c r="E33" s="28">
        <v>390</v>
      </c>
      <c r="F33" s="28">
        <v>450</v>
      </c>
      <c r="G33" s="28">
        <v>210</v>
      </c>
      <c r="H33" s="28">
        <v>220</v>
      </c>
    </row>
    <row r="34" spans="4:13">
      <c r="D34" s="28" t="s">
        <v>46</v>
      </c>
      <c r="E34" s="28">
        <v>370</v>
      </c>
      <c r="F34" s="28">
        <v>410</v>
      </c>
      <c r="G34" s="28">
        <v>190</v>
      </c>
      <c r="H34" s="28">
        <v>210</v>
      </c>
    </row>
    <row r="35" spans="4:13">
      <c r="D35" s="28" t="s">
        <v>47</v>
      </c>
      <c r="E35" s="28">
        <v>400</v>
      </c>
      <c r="F35" s="28">
        <v>470</v>
      </c>
      <c r="G35" s="28">
        <v>230</v>
      </c>
      <c r="H35" s="28">
        <v>250</v>
      </c>
    </row>
    <row r="36" spans="4:13">
      <c r="D36" s="28" t="s">
        <v>48</v>
      </c>
      <c r="E36" s="28">
        <v>500</v>
      </c>
      <c r="F36" s="28">
        <v>600</v>
      </c>
      <c r="G36" s="28">
        <v>120</v>
      </c>
      <c r="H36" s="28">
        <v>480</v>
      </c>
    </row>
    <row r="37" spans="4:13">
      <c r="D37" s="28"/>
      <c r="E37" s="28"/>
      <c r="F37" s="28"/>
      <c r="G37" s="28"/>
      <c r="H37" s="28"/>
    </row>
    <row r="38" spans="4:13">
      <c r="H38" s="29" t="str" cm="1">
        <f t="array" ref="H38:M42">TRANSPOSE(D31:H36)</f>
        <v>Week</v>
      </c>
      <c r="I38" s="29" t="str">
        <v>Week 1</v>
      </c>
      <c r="J38" s="29" t="str">
        <v>Week 2</v>
      </c>
      <c r="K38" s="29" t="str">
        <v>Week 3</v>
      </c>
      <c r="L38" s="29" t="str">
        <v>Week 4</v>
      </c>
      <c r="M38" s="29" t="str">
        <v>Week 5</v>
      </c>
    </row>
    <row r="39" spans="4:13">
      <c r="H39" s="29" t="str">
        <v>Direct</v>
      </c>
      <c r="I39" s="29">
        <v>350</v>
      </c>
      <c r="J39" s="29">
        <v>390</v>
      </c>
      <c r="K39" s="29">
        <v>370</v>
      </c>
      <c r="L39" s="29">
        <v>400</v>
      </c>
      <c r="M39" s="29">
        <v>500</v>
      </c>
    </row>
    <row r="40" spans="4:13">
      <c r="H40" s="29" t="str">
        <v>Organic</v>
      </c>
      <c r="I40" s="29">
        <v>420</v>
      </c>
      <c r="J40" s="29">
        <v>450</v>
      </c>
      <c r="K40" s="29">
        <v>410</v>
      </c>
      <c r="L40" s="29">
        <v>470</v>
      </c>
      <c r="M40" s="29">
        <v>600</v>
      </c>
    </row>
    <row r="41" spans="4:13">
      <c r="H41" s="29" t="str">
        <v>Social</v>
      </c>
      <c r="I41" s="29">
        <v>180</v>
      </c>
      <c r="J41" s="29">
        <v>210</v>
      </c>
      <c r="K41" s="29">
        <v>190</v>
      </c>
      <c r="L41" s="29">
        <v>230</v>
      </c>
      <c r="M41" s="29">
        <v>120</v>
      </c>
    </row>
    <row r="42" spans="4:13">
      <c r="H42" s="29" t="str">
        <v>Referral</v>
      </c>
      <c r="I42" s="29">
        <v>200</v>
      </c>
      <c r="J42" s="29">
        <v>220</v>
      </c>
      <c r="K42" s="29">
        <v>210</v>
      </c>
      <c r="L42" s="29">
        <v>250</v>
      </c>
      <c r="M42" s="29">
        <v>480</v>
      </c>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2C1D1-1782-4B24-B7CC-2FB8728B1197}">
  <sheetPr codeName="Sheet3"/>
  <dimension ref="A1:N15"/>
  <sheetViews>
    <sheetView workbookViewId="0">
      <selection activeCell="L8" sqref="L8"/>
    </sheetView>
  </sheetViews>
  <sheetFormatPr defaultRowHeight="15"/>
  <cols>
    <col min="1" max="1" width="37.28515625" customWidth="1"/>
    <col min="2" max="2" width="5.85546875" bestFit="1" customWidth="1"/>
  </cols>
  <sheetData>
    <row r="1" spans="1:14" ht="14.25" customHeight="1">
      <c r="A1" s="1" t="s">
        <v>49</v>
      </c>
      <c r="B1" s="1" t="s">
        <v>20</v>
      </c>
    </row>
    <row r="2" spans="1:14" ht="16.5" customHeight="1">
      <c r="A2" s="2" t="s">
        <v>50</v>
      </c>
      <c r="B2" s="2">
        <v>320</v>
      </c>
      <c r="E2" s="30" t="s">
        <v>61</v>
      </c>
      <c r="F2" s="30"/>
      <c r="I2" s="31" t="s">
        <v>62</v>
      </c>
      <c r="J2" s="31"/>
      <c r="L2" s="32" t="s">
        <v>63</v>
      </c>
      <c r="M2" s="32"/>
      <c r="N2" s="32"/>
    </row>
    <row r="3" spans="1:14" ht="13.5" customHeight="1">
      <c r="A3" s="2" t="s">
        <v>51</v>
      </c>
      <c r="B3" s="2"/>
      <c r="E3" s="30" t="s">
        <v>60</v>
      </c>
      <c r="F3" s="30"/>
      <c r="I3" s="31"/>
      <c r="J3" s="31"/>
      <c r="L3" s="32"/>
      <c r="M3" s="32"/>
      <c r="N3" s="32"/>
    </row>
    <row r="4" spans="1:14" ht="14.25" customHeight="1">
      <c r="A4" s="2"/>
      <c r="B4" s="2">
        <v>275</v>
      </c>
      <c r="E4" s="30">
        <f>COUNT(B2:B15)</f>
        <v>10</v>
      </c>
      <c r="F4" s="30"/>
      <c r="I4" s="31">
        <f>COUNTA(A2:A15)</f>
        <v>11</v>
      </c>
      <c r="J4" s="31"/>
      <c r="L4" s="32">
        <f>COUNTBLANK(B2:B15)</f>
        <v>4</v>
      </c>
      <c r="M4" s="32"/>
      <c r="N4" s="32"/>
    </row>
    <row r="5" spans="1:14" ht="17.25" customHeight="1">
      <c r="A5" s="2" t="s">
        <v>53</v>
      </c>
      <c r="B5" s="2">
        <v>150</v>
      </c>
      <c r="L5" s="32"/>
      <c r="M5" s="32"/>
      <c r="N5" s="32"/>
    </row>
    <row r="6" spans="1:14">
      <c r="A6" s="2" t="s">
        <v>54</v>
      </c>
      <c r="B6" s="2"/>
    </row>
    <row r="7" spans="1:14" ht="16.5" customHeight="1">
      <c r="A7" s="2" t="s">
        <v>60</v>
      </c>
      <c r="B7" s="2">
        <v>210</v>
      </c>
    </row>
    <row r="8" spans="1:14">
      <c r="A8" s="2" t="s">
        <v>56</v>
      </c>
      <c r="B8" s="2">
        <v>180</v>
      </c>
      <c r="E8" s="33" t="s">
        <v>64</v>
      </c>
      <c r="F8" s="33"/>
      <c r="G8" s="33"/>
      <c r="H8" s="33"/>
      <c r="I8" s="33"/>
      <c r="J8" s="33"/>
    </row>
    <row r="9" spans="1:14" ht="16.5" customHeight="1">
      <c r="A9" s="2" t="s">
        <v>57</v>
      </c>
      <c r="B9" s="2"/>
      <c r="E9" s="33"/>
      <c r="F9" s="33"/>
      <c r="G9" s="33"/>
      <c r="H9" s="33"/>
      <c r="I9" s="33"/>
      <c r="J9" s="33"/>
    </row>
    <row r="10" spans="1:14" ht="20.25" customHeight="1">
      <c r="A10" s="2" t="s">
        <v>58</v>
      </c>
      <c r="B10" s="2">
        <v>300</v>
      </c>
      <c r="E10" s="33" t="s">
        <v>65</v>
      </c>
      <c r="F10" s="33"/>
      <c r="G10" s="33"/>
      <c r="H10" s="33"/>
      <c r="I10" s="33"/>
      <c r="J10" s="33"/>
    </row>
    <row r="11" spans="1:14" ht="14.25" customHeight="1">
      <c r="A11" s="2" t="s">
        <v>59</v>
      </c>
      <c r="B11" s="2">
        <v>100</v>
      </c>
      <c r="E11" s="33"/>
      <c r="F11" s="33"/>
      <c r="G11" s="33"/>
      <c r="H11" s="33"/>
      <c r="I11" s="33"/>
      <c r="J11" s="33"/>
    </row>
    <row r="12" spans="1:14">
      <c r="B12" s="2">
        <v>650</v>
      </c>
      <c r="E12" s="33" t="s">
        <v>66</v>
      </c>
      <c r="F12" s="33"/>
      <c r="G12" s="33"/>
      <c r="H12" s="33"/>
      <c r="I12" s="33"/>
      <c r="J12" s="33"/>
    </row>
    <row r="13" spans="1:14">
      <c r="A13" s="2" t="s">
        <v>55</v>
      </c>
    </row>
    <row r="14" spans="1:14">
      <c r="B14" s="2">
        <v>820</v>
      </c>
    </row>
    <row r="15" spans="1:14">
      <c r="A15" s="2" t="s">
        <v>52</v>
      </c>
      <c r="B15" s="2">
        <v>750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17E09-B41C-4894-9DFB-F662716022DB}">
  <sheetPr codeName="Sheet4"/>
  <dimension ref="A1:M31"/>
  <sheetViews>
    <sheetView workbookViewId="0">
      <selection activeCell="J16" sqref="J16"/>
    </sheetView>
  </sheetViews>
  <sheetFormatPr defaultRowHeight="15"/>
  <cols>
    <col min="1" max="1" width="17.28515625" customWidth="1"/>
    <col min="2" max="2" width="8.42578125" bestFit="1" customWidth="1"/>
  </cols>
  <sheetData>
    <row r="1" spans="1:13">
      <c r="A1" s="1" t="s">
        <v>49</v>
      </c>
      <c r="B1" s="1" t="s">
        <v>72</v>
      </c>
      <c r="C1" s="1"/>
    </row>
    <row r="2" spans="1:13">
      <c r="A2" s="2" t="s">
        <v>67</v>
      </c>
      <c r="B2" s="2">
        <v>55000</v>
      </c>
      <c r="C2" s="2"/>
      <c r="E2" s="38" t="s">
        <v>73</v>
      </c>
      <c r="F2" s="38"/>
      <c r="H2" s="35" t="s">
        <v>74</v>
      </c>
      <c r="I2" s="35"/>
      <c r="L2" s="39" t="s">
        <v>61</v>
      </c>
      <c r="M2" s="39"/>
    </row>
    <row r="3" spans="1:13">
      <c r="A3" s="2" t="s">
        <v>68</v>
      </c>
      <c r="B3" s="2">
        <v>800</v>
      </c>
      <c r="C3" s="2"/>
      <c r="E3" s="38">
        <f>SUM(B2:B8)</f>
        <v>75050</v>
      </c>
      <c r="F3" s="38"/>
      <c r="H3" s="35">
        <f>AVERAGE(B2:B8)</f>
        <v>10721.428571428571</v>
      </c>
      <c r="I3" s="35"/>
      <c r="L3" s="39">
        <f>COUNT(B2:B8)</f>
        <v>7</v>
      </c>
      <c r="M3" s="39"/>
    </row>
    <row r="4" spans="1:13" ht="12.75" customHeight="1">
      <c r="A4" s="2" t="s">
        <v>58</v>
      </c>
      <c r="B4" s="2">
        <v>1500</v>
      </c>
      <c r="C4" s="2"/>
    </row>
    <row r="5" spans="1:13">
      <c r="A5" s="2" t="s">
        <v>69</v>
      </c>
      <c r="B5" s="2">
        <v>12000</v>
      </c>
      <c r="C5" s="2"/>
    </row>
    <row r="6" spans="1:13" ht="12.75" customHeight="1">
      <c r="A6" s="2" t="s">
        <v>70</v>
      </c>
      <c r="B6" s="2">
        <v>250</v>
      </c>
      <c r="C6" s="2"/>
    </row>
    <row r="7" spans="1:13" ht="12" customHeight="1">
      <c r="A7" s="2" t="s">
        <v>71</v>
      </c>
      <c r="B7" s="2">
        <v>2500</v>
      </c>
      <c r="C7" s="2"/>
    </row>
    <row r="8" spans="1:13">
      <c r="A8" s="2" t="s">
        <v>54</v>
      </c>
      <c r="B8" s="2">
        <v>3000</v>
      </c>
      <c r="C8" s="2"/>
    </row>
    <row r="9" spans="1:13">
      <c r="E9" s="34" t="s">
        <v>77</v>
      </c>
      <c r="F9" s="35"/>
      <c r="G9" s="35"/>
      <c r="H9" s="35"/>
      <c r="I9" s="35"/>
      <c r="J9" s="35"/>
      <c r="K9" s="35"/>
      <c r="L9" s="35"/>
    </row>
    <row r="10" spans="1:13">
      <c r="E10" s="35"/>
      <c r="F10" s="35"/>
      <c r="G10" s="35"/>
      <c r="H10" s="35"/>
      <c r="I10" s="35"/>
      <c r="J10" s="35"/>
      <c r="K10" s="35"/>
      <c r="L10" s="35"/>
    </row>
    <row r="11" spans="1:13">
      <c r="E11" s="36" t="s">
        <v>75</v>
      </c>
      <c r="F11" s="35"/>
      <c r="G11" s="35"/>
      <c r="H11" s="35"/>
      <c r="I11" s="35"/>
      <c r="J11" s="35"/>
      <c r="K11" s="35"/>
      <c r="L11" s="35"/>
    </row>
    <row r="12" spans="1:13">
      <c r="E12" s="35"/>
      <c r="F12" s="35"/>
      <c r="G12" s="35"/>
      <c r="H12" s="35"/>
      <c r="I12" s="35"/>
      <c r="J12" s="35"/>
      <c r="K12" s="35"/>
      <c r="L12" s="35"/>
    </row>
    <row r="13" spans="1:13">
      <c r="E13" s="37" t="s">
        <v>76</v>
      </c>
      <c r="F13" s="35"/>
      <c r="G13" s="35"/>
      <c r="H13" s="35"/>
      <c r="I13" s="35"/>
      <c r="J13" s="35"/>
      <c r="K13" s="35"/>
      <c r="L13" s="35"/>
    </row>
    <row r="16" spans="1:13">
      <c r="E16" s="40" t="s">
        <v>85</v>
      </c>
      <c r="F16" s="40"/>
      <c r="G16" s="40"/>
      <c r="H16" s="41"/>
    </row>
    <row r="17" spans="5:8">
      <c r="E17" s="41"/>
      <c r="F17" s="41"/>
      <c r="G17" s="41"/>
      <c r="H17" s="41"/>
    </row>
    <row r="18" spans="5:8">
      <c r="E18" s="41"/>
      <c r="F18" s="41"/>
      <c r="G18" s="41"/>
      <c r="H18" s="41"/>
    </row>
    <row r="19" spans="5:8">
      <c r="E19" s="41" t="s">
        <v>78</v>
      </c>
      <c r="F19" s="41"/>
      <c r="G19" s="41"/>
      <c r="H19" s="41"/>
    </row>
    <row r="20" spans="5:8">
      <c r="E20" s="41"/>
      <c r="F20" s="41"/>
      <c r="G20" s="41"/>
      <c r="H20" s="41"/>
    </row>
    <row r="21" spans="5:8">
      <c r="E21" s="41" t="s">
        <v>79</v>
      </c>
      <c r="F21" s="41"/>
      <c r="G21" s="41"/>
      <c r="H21" s="41"/>
    </row>
    <row r="22" spans="5:8">
      <c r="E22" s="41"/>
      <c r="F22" s="41"/>
      <c r="G22" s="41"/>
      <c r="H22" s="41"/>
    </row>
    <row r="23" spans="5:8">
      <c r="E23" s="41" t="s">
        <v>80</v>
      </c>
      <c r="F23" s="41"/>
      <c r="G23" s="41"/>
      <c r="H23" s="41"/>
    </row>
    <row r="24" spans="5:8">
      <c r="E24" s="41"/>
      <c r="F24" s="41"/>
      <c r="G24" s="41"/>
      <c r="H24" s="41"/>
    </row>
    <row r="25" spans="5:8" ht="17.25" customHeight="1">
      <c r="E25" s="42" t="s">
        <v>81</v>
      </c>
      <c r="F25" s="41"/>
      <c r="G25" s="41"/>
      <c r="H25" s="41"/>
    </row>
    <row r="26" spans="5:8">
      <c r="E26" s="41"/>
      <c r="F26" s="41"/>
      <c r="G26" s="41"/>
      <c r="H26" s="41"/>
    </row>
    <row r="27" spans="5:8">
      <c r="E27" s="41" t="s">
        <v>82</v>
      </c>
      <c r="F27" s="41"/>
      <c r="G27" s="41"/>
      <c r="H27" s="41"/>
    </row>
    <row r="28" spans="5:8" ht="13.5" customHeight="1">
      <c r="E28" s="41"/>
      <c r="F28" s="41"/>
      <c r="G28" s="41"/>
      <c r="H28" s="41"/>
    </row>
    <row r="29" spans="5:8">
      <c r="E29" s="41" t="s">
        <v>83</v>
      </c>
      <c r="F29" s="41"/>
      <c r="G29" s="41"/>
      <c r="H29" s="41"/>
    </row>
    <row r="30" spans="5:8">
      <c r="E30" s="41"/>
      <c r="F30" s="41"/>
      <c r="G30" s="41"/>
      <c r="H30" s="41"/>
    </row>
    <row r="31" spans="5:8">
      <c r="E31" s="41" t="s">
        <v>84</v>
      </c>
      <c r="F31" s="41"/>
      <c r="G31" s="41"/>
      <c r="H31" s="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DADB6-B85C-41FA-93B9-F901D3C82E91}">
  <sheetPr codeName="Sheet5"/>
  <dimension ref="A1:P58"/>
  <sheetViews>
    <sheetView topLeftCell="A39" workbookViewId="0">
      <selection activeCell="P40" sqref="P40"/>
    </sheetView>
  </sheetViews>
  <sheetFormatPr defaultRowHeight="15"/>
  <cols>
    <col min="2" max="2" width="15" customWidth="1"/>
    <col min="3" max="3" width="13.42578125" customWidth="1"/>
    <col min="5" max="5" width="10.140625" bestFit="1" customWidth="1"/>
    <col min="9" max="9" width="12.28515625" customWidth="1"/>
  </cols>
  <sheetData>
    <row r="1" spans="1:16" ht="21" customHeight="1">
      <c r="A1" s="1" t="s">
        <v>86</v>
      </c>
      <c r="B1" s="1" t="s">
        <v>87</v>
      </c>
      <c r="C1" s="52" t="s">
        <v>100</v>
      </c>
    </row>
    <row r="2" spans="1:16">
      <c r="A2" s="2">
        <v>2020</v>
      </c>
      <c r="B2" s="43">
        <v>125</v>
      </c>
      <c r="C2" s="53">
        <v>0</v>
      </c>
      <c r="E2" s="44" t="s">
        <v>88</v>
      </c>
      <c r="F2" s="44"/>
      <c r="G2" s="44"/>
      <c r="H2" s="44"/>
      <c r="I2" s="44"/>
      <c r="J2" s="44" t="s">
        <v>90</v>
      </c>
    </row>
    <row r="3" spans="1:16">
      <c r="A3" s="2">
        <v>2021</v>
      </c>
      <c r="B3" s="43">
        <v>150</v>
      </c>
      <c r="C3" s="53">
        <f>(B3-B2)/B2</f>
        <v>0.2</v>
      </c>
      <c r="E3" s="44"/>
      <c r="F3" s="45"/>
      <c r="G3" s="44" t="s">
        <v>89</v>
      </c>
      <c r="H3" s="44"/>
      <c r="I3" s="44"/>
      <c r="J3" s="44"/>
    </row>
    <row r="4" spans="1:16">
      <c r="A4" s="2">
        <v>2022</v>
      </c>
      <c r="B4" s="43">
        <v>180</v>
      </c>
      <c r="C4" s="53">
        <f t="shared" ref="C4:C6" si="0">(B4-B3)/B3</f>
        <v>0.2</v>
      </c>
      <c r="E4" s="44"/>
      <c r="F4" s="44"/>
      <c r="G4" s="44"/>
      <c r="H4" s="44"/>
      <c r="I4" s="44"/>
      <c r="J4" s="44"/>
      <c r="L4" s="50"/>
    </row>
    <row r="5" spans="1:16">
      <c r="A5" s="2">
        <v>2023</v>
      </c>
      <c r="B5" s="43">
        <v>210</v>
      </c>
      <c r="C5" s="53">
        <f t="shared" si="0"/>
        <v>0.16666666666666666</v>
      </c>
      <c r="E5" s="44"/>
      <c r="F5" s="44"/>
      <c r="G5" s="44"/>
      <c r="H5" s="44"/>
      <c r="I5" s="44"/>
      <c r="J5" s="44"/>
      <c r="L5" s="51"/>
    </row>
    <row r="6" spans="1:16">
      <c r="A6" s="2">
        <v>2024</v>
      </c>
      <c r="B6" s="43">
        <v>250</v>
      </c>
      <c r="C6" s="53">
        <f t="shared" si="0"/>
        <v>0.19047619047619047</v>
      </c>
      <c r="E6" s="44"/>
      <c r="F6" s="44"/>
      <c r="G6" s="44"/>
      <c r="H6" s="44"/>
      <c r="I6" s="44"/>
      <c r="J6" s="44"/>
    </row>
    <row r="7" spans="1:16">
      <c r="E7" s="46" t="s">
        <v>91</v>
      </c>
      <c r="F7" s="44"/>
      <c r="G7" s="47" t="s">
        <v>92</v>
      </c>
      <c r="H7" s="44"/>
      <c r="I7" s="44"/>
      <c r="J7" s="48">
        <v>0.2</v>
      </c>
    </row>
    <row r="8" spans="1:16">
      <c r="E8" s="44"/>
      <c r="F8" s="44"/>
      <c r="G8" s="44"/>
      <c r="H8" s="44"/>
      <c r="I8" s="44"/>
      <c r="J8" s="44"/>
      <c r="O8" s="23" t="s">
        <v>99</v>
      </c>
      <c r="P8" s="23"/>
    </row>
    <row r="9" spans="1:16">
      <c r="E9" s="44"/>
      <c r="F9" s="44"/>
      <c r="G9" s="44"/>
      <c r="H9" s="44"/>
      <c r="I9" s="44"/>
      <c r="J9" s="44"/>
    </row>
    <row r="10" spans="1:16">
      <c r="E10" s="44" t="s">
        <v>93</v>
      </c>
      <c r="F10" s="44"/>
      <c r="G10" s="44" t="s">
        <v>95</v>
      </c>
      <c r="H10" s="44"/>
      <c r="I10" s="44"/>
      <c r="J10" s="48">
        <v>0.2</v>
      </c>
    </row>
    <row r="11" spans="1:16">
      <c r="E11" s="44"/>
      <c r="F11" s="44"/>
      <c r="G11" s="44"/>
      <c r="H11" s="44"/>
      <c r="I11" s="44"/>
      <c r="J11" s="44"/>
    </row>
    <row r="12" spans="1:16">
      <c r="E12" s="44"/>
      <c r="F12" s="44"/>
      <c r="G12" s="44"/>
      <c r="H12" s="44"/>
      <c r="I12" s="44"/>
      <c r="J12" s="44"/>
    </row>
    <row r="13" spans="1:16">
      <c r="E13" s="44" t="s">
        <v>94</v>
      </c>
      <c r="F13" s="44"/>
      <c r="G13" s="47" t="s">
        <v>96</v>
      </c>
      <c r="H13" s="44"/>
      <c r="I13" s="44"/>
      <c r="J13" s="49">
        <v>0.16600000000000001</v>
      </c>
    </row>
    <row r="14" spans="1:16">
      <c r="E14" s="44"/>
      <c r="F14" s="44"/>
      <c r="G14" s="44"/>
      <c r="H14" s="44"/>
      <c r="I14" s="44"/>
      <c r="J14" s="44"/>
    </row>
    <row r="15" spans="1:16">
      <c r="E15" s="44"/>
      <c r="F15" s="44"/>
      <c r="G15" s="44"/>
      <c r="H15" s="44"/>
      <c r="I15" s="44"/>
      <c r="J15" s="44"/>
    </row>
    <row r="16" spans="1:16">
      <c r="E16" s="44" t="s">
        <v>97</v>
      </c>
      <c r="F16" s="44"/>
      <c r="G16" s="44" t="s">
        <v>98</v>
      </c>
      <c r="H16" s="44"/>
      <c r="I16" s="44"/>
      <c r="J16" s="49">
        <v>0.19</v>
      </c>
    </row>
    <row r="20" spans="3:16">
      <c r="E20" s="54" t="s">
        <v>101</v>
      </c>
      <c r="F20" s="55"/>
      <c r="G20" s="55"/>
      <c r="H20" s="55"/>
      <c r="I20" s="55"/>
      <c r="J20" s="55"/>
      <c r="K20" s="55"/>
      <c r="L20" s="56"/>
    </row>
    <row r="21" spans="3:16">
      <c r="E21" s="56"/>
      <c r="F21" s="56"/>
      <c r="G21" s="56"/>
      <c r="H21" s="56"/>
      <c r="I21" s="56"/>
      <c r="J21" s="56"/>
      <c r="K21" s="56"/>
      <c r="L21" s="56"/>
    </row>
    <row r="22" spans="3:16">
      <c r="E22" s="56"/>
      <c r="F22" s="56">
        <f>POWER(B6/B2, 1/4) - 1</f>
        <v>0.18920711500272103</v>
      </c>
      <c r="G22" s="56"/>
      <c r="H22" s="57">
        <v>0.18920711500272103</v>
      </c>
      <c r="I22" s="56"/>
      <c r="J22" s="56"/>
      <c r="K22" s="56"/>
      <c r="L22" s="56"/>
    </row>
    <row r="26" spans="3:16">
      <c r="C26" s="58"/>
      <c r="D26" s="58"/>
      <c r="E26" s="58"/>
      <c r="F26" s="58"/>
      <c r="G26" s="58"/>
      <c r="H26" s="59" t="s">
        <v>104</v>
      </c>
      <c r="I26" s="60"/>
      <c r="J26" s="58"/>
      <c r="K26" s="58"/>
      <c r="L26" s="58"/>
      <c r="M26" s="58"/>
      <c r="N26" s="58"/>
      <c r="O26" s="58"/>
      <c r="P26" s="58"/>
    </row>
    <row r="27" spans="3:16">
      <c r="C27" s="58"/>
      <c r="D27" s="58"/>
      <c r="E27" s="60" t="s">
        <v>102</v>
      </c>
      <c r="F27" s="60"/>
      <c r="G27" s="60"/>
      <c r="H27" s="58"/>
      <c r="I27" s="58"/>
      <c r="J27" s="58"/>
      <c r="K27" s="60" t="s">
        <v>103</v>
      </c>
      <c r="L27" s="60"/>
      <c r="M27" s="58"/>
      <c r="N27" s="58"/>
      <c r="O27" s="58"/>
      <c r="P27" s="58"/>
    </row>
    <row r="28" spans="3:16">
      <c r="C28" s="58" t="s">
        <v>105</v>
      </c>
      <c r="D28" s="58"/>
      <c r="E28" s="58"/>
      <c r="F28" s="58"/>
      <c r="G28" s="58"/>
      <c r="H28" s="58"/>
      <c r="I28" s="58"/>
      <c r="J28" s="58"/>
      <c r="K28" s="58" t="s">
        <v>106</v>
      </c>
      <c r="L28" s="58"/>
      <c r="M28" s="58"/>
      <c r="N28" s="58"/>
      <c r="O28" s="58"/>
      <c r="P28" s="58"/>
    </row>
    <row r="29" spans="3:16">
      <c r="C29" s="58"/>
      <c r="D29" s="58"/>
      <c r="E29" s="58"/>
      <c r="F29" s="58"/>
      <c r="G29" s="58"/>
      <c r="H29" s="58"/>
      <c r="I29" s="58"/>
      <c r="J29" s="58"/>
      <c r="K29" s="58"/>
      <c r="L29" s="58"/>
      <c r="M29" s="58"/>
      <c r="N29" s="58"/>
      <c r="O29" s="58"/>
      <c r="P29" s="58"/>
    </row>
    <row r="30" spans="3:16">
      <c r="C30" s="58" t="s">
        <v>107</v>
      </c>
      <c r="D30" s="58"/>
      <c r="E30" s="58"/>
      <c r="F30" s="58"/>
      <c r="G30" s="58"/>
      <c r="H30" s="58"/>
      <c r="I30" s="58"/>
      <c r="J30" s="58"/>
      <c r="K30" s="58" t="s">
        <v>108</v>
      </c>
      <c r="L30" s="58"/>
      <c r="M30" s="58"/>
      <c r="N30" s="58"/>
      <c r="O30" s="58"/>
      <c r="P30" s="58"/>
    </row>
    <row r="31" spans="3:16">
      <c r="C31" s="58"/>
      <c r="D31" s="58"/>
      <c r="E31" s="58"/>
      <c r="F31" s="58"/>
      <c r="G31" s="58"/>
      <c r="H31" s="58"/>
      <c r="I31" s="58"/>
      <c r="J31" s="58"/>
      <c r="K31" s="58"/>
      <c r="L31" s="58"/>
      <c r="M31" s="58"/>
      <c r="N31" s="58"/>
      <c r="O31" s="58"/>
      <c r="P31" s="58"/>
    </row>
    <row r="32" spans="3:16">
      <c r="C32" s="58" t="s">
        <v>114</v>
      </c>
      <c r="D32" s="58"/>
      <c r="E32" s="58"/>
      <c r="F32" s="58"/>
      <c r="G32" s="58"/>
      <c r="H32" s="58"/>
      <c r="I32" s="58"/>
      <c r="J32" s="58"/>
      <c r="K32" s="58" t="s">
        <v>109</v>
      </c>
      <c r="L32" s="58"/>
      <c r="M32" s="58"/>
      <c r="N32" s="58"/>
      <c r="O32" s="58"/>
      <c r="P32" s="58"/>
    </row>
    <row r="33" spans="3:16">
      <c r="C33" s="58"/>
      <c r="D33" s="58"/>
      <c r="E33" s="58"/>
      <c r="F33" s="58"/>
      <c r="G33" s="58"/>
      <c r="H33" s="58"/>
      <c r="I33" s="58"/>
      <c r="J33" s="58"/>
      <c r="K33" s="58"/>
      <c r="L33" s="58"/>
      <c r="M33" s="58"/>
      <c r="N33" s="58"/>
      <c r="O33" s="58"/>
      <c r="P33" s="58"/>
    </row>
    <row r="34" spans="3:16">
      <c r="C34" s="58" t="s">
        <v>110</v>
      </c>
      <c r="D34" s="58"/>
      <c r="E34" s="58"/>
      <c r="F34" s="58"/>
      <c r="G34" s="58"/>
      <c r="H34" s="58"/>
      <c r="I34" s="58"/>
      <c r="J34" s="58"/>
      <c r="K34" s="58" t="s">
        <v>111</v>
      </c>
      <c r="L34" s="58"/>
      <c r="M34" s="58"/>
      <c r="N34" s="58"/>
      <c r="O34" s="58"/>
      <c r="P34" s="58"/>
    </row>
    <row r="35" spans="3:16">
      <c r="C35" s="58"/>
      <c r="D35" s="58"/>
      <c r="E35" s="58"/>
      <c r="F35" s="58"/>
      <c r="G35" s="58"/>
      <c r="H35" s="58"/>
      <c r="I35" s="58"/>
      <c r="J35" s="58"/>
      <c r="K35" s="58"/>
      <c r="L35" s="58"/>
      <c r="M35" s="58"/>
      <c r="N35" s="58"/>
      <c r="O35" s="58"/>
      <c r="P35" s="58"/>
    </row>
    <row r="36" spans="3:16">
      <c r="C36" s="58" t="s">
        <v>112</v>
      </c>
      <c r="D36" s="58"/>
      <c r="E36" s="58"/>
      <c r="F36" s="58"/>
      <c r="G36" s="58"/>
      <c r="H36" s="58"/>
      <c r="I36" s="58"/>
      <c r="J36" s="58"/>
      <c r="K36" s="58" t="s">
        <v>113</v>
      </c>
      <c r="L36" s="58"/>
      <c r="M36" s="58"/>
      <c r="N36" s="58"/>
      <c r="O36" s="58"/>
      <c r="P36" s="58"/>
    </row>
    <row r="40" spans="3:16">
      <c r="D40" s="61"/>
      <c r="E40" s="61"/>
      <c r="F40" s="62" t="s">
        <v>115</v>
      </c>
      <c r="G40" s="62"/>
      <c r="H40" s="62"/>
      <c r="I40" s="62"/>
      <c r="J40" s="61"/>
      <c r="K40" s="61"/>
      <c r="L40" s="61"/>
    </row>
    <row r="41" spans="3:16">
      <c r="D41" s="61"/>
      <c r="E41" s="61"/>
      <c r="F41" s="61"/>
      <c r="G41" s="61"/>
      <c r="H41" s="61"/>
      <c r="I41" s="61"/>
      <c r="J41" s="61"/>
      <c r="K41" s="61"/>
      <c r="L41" s="61"/>
    </row>
    <row r="42" spans="3:16">
      <c r="D42" s="61"/>
      <c r="E42" s="63" t="s">
        <v>116</v>
      </c>
      <c r="F42" s="61"/>
      <c r="G42" s="61"/>
      <c r="H42" s="61"/>
      <c r="I42" s="61"/>
      <c r="J42" s="61"/>
      <c r="K42" s="61"/>
      <c r="L42" s="61"/>
    </row>
    <row r="43" spans="3:16">
      <c r="D43" s="61"/>
      <c r="E43" s="61" t="s">
        <v>117</v>
      </c>
      <c r="F43" s="61"/>
      <c r="G43" s="61"/>
      <c r="H43" s="61"/>
      <c r="I43" s="61"/>
      <c r="J43" s="61"/>
      <c r="K43" s="61"/>
      <c r="L43" s="61"/>
    </row>
    <row r="44" spans="3:16">
      <c r="D44" s="61"/>
      <c r="E44" s="61" t="s">
        <v>118</v>
      </c>
      <c r="F44" s="61"/>
      <c r="G44" s="61"/>
      <c r="H44" s="61"/>
      <c r="I44" s="61"/>
      <c r="J44" s="61"/>
      <c r="K44" s="61"/>
      <c r="L44" s="61"/>
    </row>
    <row r="45" spans="3:16">
      <c r="D45" s="61"/>
      <c r="E45" s="61" t="s">
        <v>119</v>
      </c>
      <c r="F45" s="61"/>
      <c r="G45" s="61"/>
      <c r="H45" s="61"/>
      <c r="I45" s="61"/>
      <c r="J45" s="61"/>
      <c r="K45" s="61"/>
      <c r="L45" s="61"/>
    </row>
    <row r="46" spans="3:16">
      <c r="D46" s="61"/>
      <c r="E46" s="61"/>
      <c r="F46" s="61"/>
      <c r="G46" s="61"/>
      <c r="H46" s="61"/>
      <c r="I46" s="61"/>
      <c r="J46" s="61"/>
      <c r="K46" s="61"/>
      <c r="L46" s="61"/>
    </row>
    <row r="47" spans="3:16">
      <c r="D47" s="61"/>
      <c r="E47" s="61"/>
      <c r="F47" s="62" t="s">
        <v>120</v>
      </c>
      <c r="G47" s="62"/>
      <c r="H47" s="62"/>
      <c r="I47" s="62"/>
      <c r="J47" s="62"/>
      <c r="K47" s="61"/>
      <c r="L47" s="61"/>
    </row>
    <row r="48" spans="3:16">
      <c r="D48" s="61"/>
      <c r="E48" s="61"/>
      <c r="F48" s="61"/>
      <c r="G48" s="61"/>
      <c r="H48" s="61"/>
      <c r="I48" s="61"/>
      <c r="J48" s="61"/>
      <c r="K48" s="61"/>
      <c r="L48" s="61"/>
    </row>
    <row r="49" spans="4:12">
      <c r="D49" s="61"/>
      <c r="E49" s="61" t="s">
        <v>121</v>
      </c>
      <c r="F49" s="61"/>
      <c r="G49" s="61"/>
      <c r="H49" s="61"/>
      <c r="I49" s="61"/>
      <c r="J49" s="61"/>
      <c r="K49" s="61"/>
      <c r="L49" s="61"/>
    </row>
    <row r="50" spans="4:12">
      <c r="D50" s="61"/>
      <c r="E50" s="61" t="s">
        <v>122</v>
      </c>
      <c r="F50" s="61"/>
      <c r="G50" s="61"/>
      <c r="H50" s="61"/>
      <c r="I50" s="61"/>
      <c r="J50" s="61"/>
      <c r="K50" s="61"/>
      <c r="L50" s="61"/>
    </row>
    <row r="51" spans="4:12">
      <c r="D51" s="61"/>
      <c r="E51" s="61" t="s">
        <v>123</v>
      </c>
      <c r="F51" s="61"/>
      <c r="G51" s="61"/>
      <c r="H51" s="61"/>
      <c r="I51" s="61"/>
      <c r="J51" s="61"/>
      <c r="K51" s="61"/>
      <c r="L51" s="61"/>
    </row>
    <row r="52" spans="4:12">
      <c r="D52" s="61"/>
      <c r="E52" s="61" t="s">
        <v>124</v>
      </c>
      <c r="F52" s="61"/>
      <c r="G52" s="61"/>
      <c r="H52" s="61"/>
      <c r="I52" s="61"/>
      <c r="J52" s="61"/>
      <c r="K52" s="61"/>
      <c r="L52" s="61"/>
    </row>
    <row r="53" spans="4:12" ht="18" customHeight="1">
      <c r="D53" s="61"/>
      <c r="E53" s="64"/>
      <c r="F53" s="61"/>
      <c r="G53" s="61"/>
      <c r="H53" s="61"/>
      <c r="I53" s="61"/>
      <c r="J53" s="61"/>
      <c r="K53" s="61"/>
      <c r="L53" s="61"/>
    </row>
    <row r="54" spans="4:12">
      <c r="D54" s="61"/>
      <c r="E54" s="61"/>
      <c r="F54" s="62" t="s">
        <v>125</v>
      </c>
      <c r="G54" s="62"/>
      <c r="H54" s="62"/>
      <c r="I54" s="61"/>
      <c r="J54" s="61"/>
      <c r="K54" s="61"/>
      <c r="L54" s="61"/>
    </row>
    <row r="55" spans="4:12">
      <c r="D55" s="61"/>
      <c r="E55" s="61"/>
      <c r="F55" s="61"/>
      <c r="G55" s="61"/>
      <c r="H55" s="61"/>
      <c r="I55" s="61"/>
      <c r="J55" s="61"/>
      <c r="K55" s="61"/>
      <c r="L55" s="61"/>
    </row>
    <row r="56" spans="4:12">
      <c r="D56" s="63" t="s">
        <v>126</v>
      </c>
      <c r="E56" s="61"/>
      <c r="F56" s="61" t="s">
        <v>128</v>
      </c>
      <c r="G56" s="61"/>
      <c r="H56" s="61"/>
      <c r="I56" s="61"/>
      <c r="J56" s="61"/>
      <c r="K56" s="61"/>
      <c r="L56" s="61"/>
    </row>
    <row r="57" spans="4:12">
      <c r="D57" s="61"/>
      <c r="E57" s="61"/>
      <c r="F57" s="61"/>
      <c r="G57" s="61"/>
      <c r="H57" s="61"/>
      <c r="I57" s="61"/>
      <c r="J57" s="61"/>
      <c r="K57" s="61"/>
      <c r="L57" s="61"/>
    </row>
    <row r="58" spans="4:12">
      <c r="D58" s="61" t="s">
        <v>127</v>
      </c>
      <c r="E58" s="61"/>
      <c r="F58" s="61" t="s">
        <v>129</v>
      </c>
      <c r="G58" s="61"/>
      <c r="H58" s="61"/>
      <c r="I58" s="61"/>
      <c r="J58" s="61"/>
      <c r="K58" s="61"/>
      <c r="L58" s="6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E241C-2AF7-4F81-AF29-34380B368EE5}">
  <sheetPr codeName="Sheet6"/>
  <dimension ref="A1:O46"/>
  <sheetViews>
    <sheetView topLeftCell="A31" workbookViewId="0">
      <selection activeCell="D46" sqref="D46"/>
    </sheetView>
  </sheetViews>
  <sheetFormatPr defaultRowHeight="15"/>
  <cols>
    <col min="1" max="1" width="14.85546875" customWidth="1"/>
    <col min="2" max="2" width="16.140625" customWidth="1"/>
    <col min="3" max="3" width="15.7109375" customWidth="1"/>
    <col min="4" max="4" width="18.5703125" customWidth="1"/>
    <col min="5" max="5" width="16.7109375" customWidth="1"/>
    <col min="6" max="6" width="18.42578125" customWidth="1"/>
    <col min="8" max="8" width="16.5703125" customWidth="1"/>
    <col min="9" max="9" width="13.5703125" customWidth="1"/>
  </cols>
  <sheetData>
    <row r="1" spans="1:15" ht="18.75" customHeight="1">
      <c r="A1" s="1" t="s">
        <v>49</v>
      </c>
      <c r="B1" s="1" t="s">
        <v>130</v>
      </c>
      <c r="C1" s="1" t="s">
        <v>131</v>
      </c>
      <c r="H1" s="66" t="s">
        <v>131</v>
      </c>
      <c r="I1" s="20"/>
      <c r="J1" s="20"/>
      <c r="K1" s="20"/>
      <c r="L1" s="20"/>
      <c r="M1" s="20"/>
      <c r="N1" s="20"/>
    </row>
    <row r="2" spans="1:15">
      <c r="A2" s="2" t="s">
        <v>67</v>
      </c>
      <c r="B2" s="2">
        <v>12</v>
      </c>
      <c r="C2" s="2">
        <v>660000</v>
      </c>
      <c r="H2" s="67">
        <v>660000</v>
      </c>
      <c r="I2" s="20"/>
      <c r="J2" s="20"/>
      <c r="K2" s="20"/>
      <c r="L2" s="20"/>
      <c r="M2" s="20"/>
      <c r="N2" s="20"/>
    </row>
    <row r="3" spans="1:15">
      <c r="A3" s="2" t="s">
        <v>68</v>
      </c>
      <c r="B3" s="2">
        <v>80</v>
      </c>
      <c r="C3" s="2">
        <v>64000</v>
      </c>
      <c r="H3" s="67">
        <v>64000</v>
      </c>
      <c r="I3" s="20"/>
      <c r="J3" s="68" t="s">
        <v>132</v>
      </c>
      <c r="K3" s="20"/>
      <c r="L3" s="20"/>
      <c r="M3" s="20"/>
      <c r="N3" s="20"/>
    </row>
    <row r="4" spans="1:15" ht="19.5" customHeight="1">
      <c r="A4" s="2" t="s">
        <v>58</v>
      </c>
      <c r="B4" s="2">
        <v>45</v>
      </c>
      <c r="C4" s="2">
        <v>67500</v>
      </c>
      <c r="H4" s="67">
        <v>67500</v>
      </c>
      <c r="I4" s="20"/>
      <c r="J4" s="20"/>
      <c r="K4" s="20"/>
      <c r="L4" s="20"/>
      <c r="M4" s="20"/>
      <c r="N4" s="20"/>
    </row>
    <row r="5" spans="1:15">
      <c r="A5" s="2" t="s">
        <v>69</v>
      </c>
      <c r="B5" s="2">
        <v>20</v>
      </c>
      <c r="C5" s="2">
        <v>240000</v>
      </c>
      <c r="H5" s="67">
        <v>240000</v>
      </c>
      <c r="I5" s="20"/>
      <c r="J5" s="20"/>
      <c r="K5" s="20"/>
      <c r="L5" s="20"/>
      <c r="M5" s="20"/>
      <c r="N5" s="20"/>
    </row>
    <row r="6" spans="1:15" ht="17.25" customHeight="1">
      <c r="A6" s="2" t="s">
        <v>71</v>
      </c>
      <c r="B6" s="2">
        <v>30</v>
      </c>
      <c r="C6" s="2">
        <v>75000</v>
      </c>
      <c r="H6" s="67">
        <v>75000</v>
      </c>
      <c r="I6" s="20"/>
      <c r="J6" s="20"/>
      <c r="K6" s="66"/>
      <c r="L6" s="20"/>
      <c r="M6" s="20"/>
      <c r="N6" s="20"/>
    </row>
    <row r="7" spans="1:15">
      <c r="K7" s="65"/>
    </row>
    <row r="8" spans="1:15">
      <c r="K8" s="65"/>
    </row>
    <row r="9" spans="1:15">
      <c r="H9" s="66" t="s">
        <v>131</v>
      </c>
      <c r="K9" s="65"/>
    </row>
    <row r="10" spans="1:15">
      <c r="H10" s="67">
        <v>660000</v>
      </c>
      <c r="K10" s="65"/>
    </row>
    <row r="11" spans="1:15">
      <c r="H11" s="67">
        <v>64000</v>
      </c>
      <c r="J11" s="70" t="s">
        <v>134</v>
      </c>
      <c r="K11" s="71"/>
      <c r="L11" s="13"/>
      <c r="M11" s="13"/>
      <c r="N11" s="13"/>
      <c r="O11" s="13"/>
    </row>
    <row r="12" spans="1:15">
      <c r="H12" s="67">
        <v>67500</v>
      </c>
      <c r="J12" s="13" t="s">
        <v>135</v>
      </c>
      <c r="K12" s="13" t="s">
        <v>60</v>
      </c>
      <c r="L12" s="13"/>
      <c r="M12" s="13"/>
      <c r="N12" s="13"/>
      <c r="O12" s="13"/>
    </row>
    <row r="13" spans="1:15">
      <c r="H13" s="67">
        <v>240000</v>
      </c>
    </row>
    <row r="14" spans="1:15">
      <c r="H14" s="67">
        <v>75000</v>
      </c>
    </row>
    <row r="15" spans="1:15">
      <c r="H15" s="69"/>
    </row>
    <row r="17" spans="4:13" ht="18.75">
      <c r="D17" s="72" t="s">
        <v>136</v>
      </c>
      <c r="E17" s="73"/>
      <c r="F17" s="73"/>
      <c r="G17" s="73"/>
      <c r="H17" s="74"/>
      <c r="I17" s="75"/>
      <c r="J17" s="75"/>
    </row>
    <row r="18" spans="4:13" ht="18.75">
      <c r="H18" s="75"/>
      <c r="I18" s="75"/>
      <c r="J18" s="75"/>
    </row>
    <row r="19" spans="4:13" ht="18" customHeight="1">
      <c r="D19" s="83" t="s">
        <v>49</v>
      </c>
      <c r="E19" s="83" t="s">
        <v>130</v>
      </c>
      <c r="F19" s="83" t="s">
        <v>131</v>
      </c>
      <c r="H19" s="75"/>
      <c r="I19" s="75"/>
      <c r="J19" s="75"/>
    </row>
    <row r="21" spans="4:13" ht="18.75">
      <c r="D21" s="76" t="s">
        <v>49</v>
      </c>
      <c r="E21" s="76" t="s">
        <v>130</v>
      </c>
      <c r="F21" s="76" t="s">
        <v>133</v>
      </c>
      <c r="I21" s="87" t="s">
        <v>139</v>
      </c>
      <c r="J21" s="88"/>
      <c r="K21" s="88"/>
      <c r="L21" s="88"/>
      <c r="M21" s="88"/>
    </row>
    <row r="23" spans="4:13" ht="24" customHeight="1">
      <c r="D23" s="80" t="s">
        <v>137</v>
      </c>
      <c r="E23" s="80" t="s">
        <v>130</v>
      </c>
      <c r="F23" s="80" t="s">
        <v>133</v>
      </c>
      <c r="I23" s="85" t="s">
        <v>49</v>
      </c>
      <c r="J23" s="85" t="s">
        <v>130</v>
      </c>
      <c r="K23" s="85" t="s">
        <v>131</v>
      </c>
    </row>
    <row r="24" spans="4:13">
      <c r="I24" s="86" t="s">
        <v>67</v>
      </c>
      <c r="J24" s="86">
        <v>12</v>
      </c>
      <c r="K24" s="86">
        <v>660000</v>
      </c>
    </row>
    <row r="25" spans="4:13" ht="16.5">
      <c r="D25" s="81" t="s">
        <v>137</v>
      </c>
      <c r="E25" s="82" t="s">
        <v>130</v>
      </c>
      <c r="F25" s="82" t="s">
        <v>133</v>
      </c>
      <c r="I25" s="86" t="s">
        <v>68</v>
      </c>
      <c r="J25" s="86">
        <v>80</v>
      </c>
      <c r="K25" s="86">
        <v>64000</v>
      </c>
    </row>
    <row r="26" spans="4:13">
      <c r="I26" s="86" t="s">
        <v>58</v>
      </c>
      <c r="J26" s="86">
        <v>45</v>
      </c>
      <c r="K26" s="86">
        <v>67500</v>
      </c>
    </row>
    <row r="27" spans="4:13">
      <c r="D27" s="77" t="s">
        <v>137</v>
      </c>
      <c r="E27" s="77" t="s">
        <v>130</v>
      </c>
      <c r="F27" s="77" t="s">
        <v>133</v>
      </c>
      <c r="I27" s="86" t="s">
        <v>69</v>
      </c>
      <c r="J27" s="86">
        <v>20</v>
      </c>
      <c r="K27" s="86">
        <v>240000</v>
      </c>
    </row>
    <row r="28" spans="4:13">
      <c r="I28" s="86" t="s">
        <v>71</v>
      </c>
      <c r="J28" s="86">
        <v>30</v>
      </c>
      <c r="K28" s="86">
        <v>75000</v>
      </c>
    </row>
    <row r="29" spans="4:13" ht="15.75">
      <c r="D29" s="78" t="s">
        <v>137</v>
      </c>
      <c r="E29" s="78" t="s">
        <v>130</v>
      </c>
      <c r="F29" s="78" t="s">
        <v>133</v>
      </c>
    </row>
    <row r="31" spans="4:13" ht="18">
      <c r="D31" s="79" t="s">
        <v>137</v>
      </c>
      <c r="E31" s="79" t="s">
        <v>130</v>
      </c>
      <c r="F31" s="79" t="s">
        <v>133</v>
      </c>
    </row>
    <row r="33" spans="3:7" ht="15.75">
      <c r="D33" s="84" t="s">
        <v>138</v>
      </c>
      <c r="E33" s="84" t="s">
        <v>130</v>
      </c>
      <c r="F33" s="84" t="s">
        <v>133</v>
      </c>
    </row>
    <row r="39" spans="3:7">
      <c r="C39" s="89" t="s">
        <v>140</v>
      </c>
      <c r="D39" s="36"/>
      <c r="E39" s="36"/>
      <c r="F39" s="36"/>
      <c r="G39" s="35"/>
    </row>
    <row r="41" spans="3:7">
      <c r="D41" s="1" t="s">
        <v>49</v>
      </c>
      <c r="E41" s="1" t="s">
        <v>130</v>
      </c>
      <c r="F41" s="1" t="s">
        <v>131</v>
      </c>
    </row>
    <row r="42" spans="3:7" ht="16.5">
      <c r="D42" s="128" t="s">
        <v>67</v>
      </c>
      <c r="E42" s="2">
        <v>12</v>
      </c>
      <c r="F42" s="2">
        <v>660000</v>
      </c>
    </row>
    <row r="43" spans="3:7" ht="16.5">
      <c r="D43" s="128" t="s">
        <v>68</v>
      </c>
      <c r="E43" s="2">
        <v>80</v>
      </c>
      <c r="F43" s="2">
        <v>64000</v>
      </c>
    </row>
    <row r="44" spans="3:7" ht="16.5">
      <c r="D44" s="128" t="s">
        <v>58</v>
      </c>
      <c r="E44" s="2">
        <v>45</v>
      </c>
      <c r="F44" s="2">
        <v>67500</v>
      </c>
    </row>
    <row r="45" spans="3:7" ht="16.5">
      <c r="D45" s="128" t="s">
        <v>69</v>
      </c>
      <c r="E45" s="2">
        <v>20</v>
      </c>
      <c r="F45" s="2">
        <v>240000</v>
      </c>
    </row>
    <row r="46" spans="3:7" ht="16.5">
      <c r="D46" s="128" t="s">
        <v>71</v>
      </c>
      <c r="E46" s="2">
        <v>30</v>
      </c>
      <c r="F46" s="2">
        <v>75000</v>
      </c>
    </row>
  </sheetData>
  <conditionalFormatting sqref="D42:F46">
    <cfRule type="expression" dxfId="20" priority="6">
      <formula>"Laptop"</formula>
    </cfRule>
  </conditionalFormatting>
  <conditionalFormatting sqref="F42:F46">
    <cfRule type="cellIs" dxfId="19" priority="1" operator="lessThan">
      <formula>67500</formula>
    </cfRule>
    <cfRule type="aboveAverage" dxfId="18" priority="2" aboveAverage="0"/>
    <cfRule type="cellIs" dxfId="17" priority="3" operator="lessThan">
      <formula>100000</formula>
    </cfRule>
    <cfRule type="cellIs" dxfId="16" priority="4" operator="greaterThan">
      <formula>100000</formula>
    </cfRule>
    <cfRule type="containsText" dxfId="15" priority="5" operator="containsText" text="Laptop">
      <formula>NOT(ISERROR(SEARCH("Laptop",F42)))</formula>
    </cfRule>
  </conditionalFormatting>
  <conditionalFormatting sqref="H10:H14">
    <cfRule type="cellIs" dxfId="14" priority="7" operator="greaterThan">
      <formula>100000</formula>
    </cfRule>
  </conditionalFormatting>
  <conditionalFormatting sqref="H15">
    <cfRule type="cellIs" dxfId="13" priority="8" operator="greaterThan">
      <formula>100000</formula>
    </cfRule>
    <cfRule type="cellIs" dxfId="12" priority="9" operator="greaterThan">
      <formula>" ₹ 10000000"</formula>
    </cfRule>
    <cfRule type="cellIs" dxfId="11" priority="10" operator="greaterThan">
      <formula>" ₹ 362,000.00 "</formula>
    </cfRule>
    <cfRule type="cellIs" dxfId="10" priority="11" operator="greaterThan">
      <formula>" ₹ 100000"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B18BA-C590-43AB-9D82-46F810C44444}">
  <sheetPr codeName="Sheet7"/>
  <dimension ref="A1:N51"/>
  <sheetViews>
    <sheetView topLeftCell="E1" workbookViewId="0">
      <selection activeCell="N9" sqref="N9:U9"/>
    </sheetView>
  </sheetViews>
  <sheetFormatPr defaultRowHeight="15"/>
  <cols>
    <col min="1" max="3" width="17.5703125" customWidth="1"/>
    <col min="5" max="5" width="12" bestFit="1" customWidth="1"/>
    <col min="7" max="7" width="16.42578125" customWidth="1"/>
  </cols>
  <sheetData>
    <row r="1" spans="1:14" ht="24.75" customHeight="1">
      <c r="A1" s="1" t="s">
        <v>49</v>
      </c>
      <c r="B1" s="1" t="s">
        <v>130</v>
      </c>
      <c r="C1" s="1" t="s">
        <v>133</v>
      </c>
      <c r="G1" s="90" t="s">
        <v>144</v>
      </c>
      <c r="H1" s="91"/>
    </row>
    <row r="2" spans="1:14" ht="20.25" customHeight="1">
      <c r="A2" s="2" t="s">
        <v>50</v>
      </c>
      <c r="B2" s="2">
        <v>25</v>
      </c>
      <c r="C2" s="2">
        <v>187500</v>
      </c>
      <c r="G2" s="92">
        <v>86</v>
      </c>
      <c r="H2" s="93">
        <f>G2/100</f>
        <v>0.86</v>
      </c>
    </row>
    <row r="3" spans="1:14" ht="16.5" customHeight="1">
      <c r="A3" s="2" t="s">
        <v>141</v>
      </c>
      <c r="B3" s="2">
        <v>50</v>
      </c>
      <c r="C3" s="2">
        <v>125000</v>
      </c>
      <c r="G3" s="92">
        <v>45</v>
      </c>
      <c r="H3" s="93">
        <f t="shared" ref="H3:H6" si="0">G3/100</f>
        <v>0.45</v>
      </c>
      <c r="J3" s="94" t="s">
        <v>145</v>
      </c>
      <c r="K3" s="94"/>
      <c r="L3" s="94"/>
    </row>
    <row r="4" spans="1:14" ht="19.5" customHeight="1">
      <c r="A4" s="2" t="s">
        <v>52</v>
      </c>
      <c r="B4" s="2">
        <v>35</v>
      </c>
      <c r="C4" s="2">
        <v>175000</v>
      </c>
      <c r="G4" s="92">
        <v>92</v>
      </c>
      <c r="H4" s="93">
        <f t="shared" si="0"/>
        <v>0.92</v>
      </c>
      <c r="I4" t="s">
        <v>60</v>
      </c>
    </row>
    <row r="5" spans="1:14" ht="16.5" customHeight="1">
      <c r="A5" s="2" t="s">
        <v>142</v>
      </c>
      <c r="B5" s="2">
        <v>60</v>
      </c>
      <c r="C5" s="2">
        <v>90000</v>
      </c>
      <c r="G5" s="92">
        <v>55</v>
      </c>
      <c r="H5" s="93">
        <f t="shared" si="0"/>
        <v>0.55000000000000004</v>
      </c>
    </row>
    <row r="6" spans="1:14" ht="15.75" customHeight="1">
      <c r="A6" s="2" t="s">
        <v>143</v>
      </c>
      <c r="B6" s="2">
        <v>40</v>
      </c>
      <c r="C6" s="2">
        <v>140000</v>
      </c>
      <c r="G6" s="92">
        <v>78</v>
      </c>
      <c r="H6" s="93">
        <f t="shared" si="0"/>
        <v>0.78</v>
      </c>
    </row>
    <row r="9" spans="1:14">
      <c r="N9" s="22"/>
    </row>
    <row r="10" spans="1:14">
      <c r="C10" s="95" t="s">
        <v>133</v>
      </c>
      <c r="D10" s="13"/>
      <c r="E10" s="13"/>
      <c r="F10" s="13"/>
      <c r="G10" s="95" t="s">
        <v>133</v>
      </c>
    </row>
    <row r="11" spans="1:14">
      <c r="C11" s="96">
        <v>187500</v>
      </c>
      <c r="D11" s="13"/>
      <c r="E11" s="98" t="s">
        <v>20</v>
      </c>
      <c r="F11" s="13"/>
      <c r="G11" s="97">
        <v>187500</v>
      </c>
    </row>
    <row r="12" spans="1:14">
      <c r="C12" s="96">
        <v>125000</v>
      </c>
      <c r="D12" s="13"/>
      <c r="E12" s="98" t="s">
        <v>146</v>
      </c>
      <c r="F12" s="13"/>
      <c r="G12" s="97">
        <v>125000</v>
      </c>
    </row>
    <row r="13" spans="1:14">
      <c r="C13" s="96">
        <v>175000</v>
      </c>
      <c r="D13" s="13"/>
      <c r="E13" s="98" t="s">
        <v>147</v>
      </c>
      <c r="F13" s="13"/>
      <c r="G13" s="97">
        <v>175000</v>
      </c>
    </row>
    <row r="14" spans="1:14">
      <c r="C14" s="96">
        <v>90000</v>
      </c>
      <c r="D14" s="13"/>
      <c r="E14" s="98" t="s">
        <v>148</v>
      </c>
      <c r="F14" s="13"/>
      <c r="G14" s="97">
        <v>90000</v>
      </c>
    </row>
    <row r="15" spans="1:14">
      <c r="C15" s="96">
        <v>140000</v>
      </c>
      <c r="D15" s="13"/>
      <c r="E15" s="13"/>
      <c r="F15" s="13"/>
      <c r="G15" s="97">
        <v>140000</v>
      </c>
    </row>
    <row r="18" spans="4:11" ht="18.75">
      <c r="F18" s="99" t="s">
        <v>149</v>
      </c>
      <c r="G18" s="100"/>
      <c r="H18" s="100"/>
      <c r="I18" s="100"/>
      <c r="J18" s="101"/>
    </row>
    <row r="20" spans="4:11">
      <c r="G20" s="23" t="s">
        <v>150</v>
      </c>
    </row>
    <row r="21" spans="4:11">
      <c r="G21" s="102">
        <v>76</v>
      </c>
    </row>
    <row r="22" spans="4:11">
      <c r="G22" s="102">
        <v>-98</v>
      </c>
    </row>
    <row r="23" spans="4:11">
      <c r="G23" s="102">
        <v>23</v>
      </c>
    </row>
    <row r="24" spans="4:11">
      <c r="G24" s="102">
        <v>-55</v>
      </c>
    </row>
    <row r="25" spans="4:11">
      <c r="G25" s="102">
        <v>-79</v>
      </c>
    </row>
    <row r="26" spans="4:11">
      <c r="G26" s="102">
        <v>-12</v>
      </c>
    </row>
    <row r="27" spans="4:11">
      <c r="G27" s="102">
        <v>23</v>
      </c>
    </row>
    <row r="28" spans="4:11">
      <c r="G28" s="102">
        <v>30</v>
      </c>
    </row>
    <row r="29" spans="4:11">
      <c r="G29" s="102">
        <v>-63</v>
      </c>
    </row>
    <row r="32" spans="4:11" ht="18">
      <c r="D32" s="103" t="s">
        <v>151</v>
      </c>
      <c r="E32" s="104"/>
      <c r="F32" s="104"/>
      <c r="G32" s="104"/>
      <c r="H32" s="104"/>
      <c r="I32" s="104"/>
      <c r="J32" s="104"/>
      <c r="K32" s="104"/>
    </row>
    <row r="34" spans="4:9">
      <c r="E34" s="105">
        <v>54</v>
      </c>
      <c r="F34" s="105"/>
      <c r="G34" s="106">
        <v>54</v>
      </c>
    </row>
    <row r="35" spans="4:9">
      <c r="E35" s="105">
        <v>73</v>
      </c>
      <c r="F35" s="105"/>
      <c r="G35" s="106">
        <v>73</v>
      </c>
    </row>
    <row r="36" spans="4:9">
      <c r="E36" s="105">
        <v>29</v>
      </c>
      <c r="F36" s="105"/>
      <c r="G36" s="106">
        <v>29</v>
      </c>
    </row>
    <row r="37" spans="4:9">
      <c r="E37" s="105">
        <v>85</v>
      </c>
      <c r="F37" s="105"/>
      <c r="G37" s="106">
        <v>85</v>
      </c>
    </row>
    <row r="38" spans="4:9">
      <c r="E38" s="105">
        <v>90</v>
      </c>
      <c r="F38" s="105"/>
      <c r="G38" s="106">
        <v>90</v>
      </c>
    </row>
    <row r="39" spans="4:9">
      <c r="E39" s="105">
        <v>32</v>
      </c>
      <c r="F39" s="105"/>
      <c r="G39" s="106">
        <v>32</v>
      </c>
    </row>
    <row r="40" spans="4:9">
      <c r="E40" s="105">
        <v>17</v>
      </c>
      <c r="F40" s="105"/>
      <c r="G40" s="106">
        <v>17</v>
      </c>
    </row>
    <row r="44" spans="4:9" ht="18.75">
      <c r="D44" s="108" t="s">
        <v>152</v>
      </c>
      <c r="E44" s="109"/>
      <c r="F44" s="109"/>
      <c r="G44" s="109"/>
      <c r="H44" s="91"/>
      <c r="I44" s="91"/>
    </row>
    <row r="46" spans="4:9">
      <c r="E46" s="35">
        <v>657784859</v>
      </c>
      <c r="F46" s="35"/>
      <c r="G46" s="35"/>
      <c r="H46" s="35">
        <v>657784859</v>
      </c>
    </row>
    <row r="47" spans="4:9">
      <c r="E47" s="35">
        <v>324352889</v>
      </c>
      <c r="F47" s="35"/>
      <c r="G47" s="35"/>
      <c r="H47" s="35">
        <v>324352889</v>
      </c>
    </row>
    <row r="48" spans="4:9">
      <c r="E48" s="35">
        <v>446789643</v>
      </c>
      <c r="F48" s="35"/>
      <c r="G48" s="35"/>
      <c r="H48" s="35">
        <v>446789643</v>
      </c>
    </row>
    <row r="49" spans="5:8">
      <c r="E49" s="35">
        <v>4376789</v>
      </c>
      <c r="F49" s="35"/>
      <c r="G49" s="35"/>
      <c r="H49" s="35">
        <v>4376789</v>
      </c>
    </row>
    <row r="50" spans="5:8">
      <c r="E50" s="35">
        <v>253546768</v>
      </c>
      <c r="F50" s="35"/>
      <c r="G50" s="35"/>
      <c r="H50" s="35">
        <v>253546768</v>
      </c>
    </row>
    <row r="51" spans="5:8">
      <c r="E51" s="35">
        <v>425637577</v>
      </c>
      <c r="F51" s="35"/>
      <c r="G51" s="35"/>
      <c r="H51" s="35">
        <v>425637577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88C01-6BEB-487B-85FD-2B546CA66BA8}">
  <sheetPr codeName="Sheet8"/>
  <dimension ref="A1:T56"/>
  <sheetViews>
    <sheetView topLeftCell="A47" workbookViewId="0">
      <selection activeCell="L50" sqref="L50"/>
    </sheetView>
  </sheetViews>
  <sheetFormatPr defaultRowHeight="15"/>
  <cols>
    <col min="6" max="6" width="50.85546875" bestFit="1" customWidth="1"/>
    <col min="7" max="7" width="5.42578125" bestFit="1" customWidth="1"/>
    <col min="8" max="8" width="9.28515625" bestFit="1" customWidth="1"/>
    <col min="9" max="9" width="10.85546875" bestFit="1" customWidth="1"/>
    <col min="10" max="10" width="11" bestFit="1" customWidth="1"/>
    <col min="12" max="12" width="8.28515625" customWidth="1"/>
    <col min="13" max="13" width="14.7109375" bestFit="1" customWidth="1"/>
    <col min="14" max="14" width="5" bestFit="1" customWidth="1"/>
    <col min="15" max="15" width="8.42578125" bestFit="1" customWidth="1"/>
    <col min="16" max="16" width="5.7109375" bestFit="1" customWidth="1"/>
    <col min="17" max="17" width="14.7109375" bestFit="1" customWidth="1"/>
  </cols>
  <sheetData>
    <row r="1" spans="1:20" ht="197.25">
      <c r="A1" s="16" t="s">
        <v>153</v>
      </c>
      <c r="B1" s="16"/>
      <c r="C1" s="16"/>
      <c r="D1" s="16"/>
      <c r="E1" s="16"/>
      <c r="F1" s="16"/>
      <c r="G1" s="16"/>
      <c r="H1" s="16"/>
      <c r="I1" s="16"/>
      <c r="K1" s="110" t="s">
        <v>154</v>
      </c>
      <c r="L1" s="110" t="s">
        <v>155</v>
      </c>
      <c r="M1" s="110" t="s">
        <v>156</v>
      </c>
      <c r="N1" s="111"/>
    </row>
    <row r="4" spans="1:20" ht="18.75">
      <c r="G4" s="112" t="s">
        <v>157</v>
      </c>
      <c r="H4" s="113"/>
      <c r="I4" s="113"/>
      <c r="J4" s="113"/>
      <c r="K4" s="114"/>
    </row>
    <row r="6" spans="1:20">
      <c r="H6" s="115" t="s">
        <v>158</v>
      </c>
      <c r="I6" s="115"/>
      <c r="J6" s="116" t="s">
        <v>158</v>
      </c>
    </row>
    <row r="7" spans="1:20">
      <c r="H7" s="115" t="s">
        <v>159</v>
      </c>
      <c r="I7" s="115"/>
      <c r="J7" s="116" t="s">
        <v>159</v>
      </c>
      <c r="K7" t="s">
        <v>60</v>
      </c>
    </row>
    <row r="8" spans="1:20">
      <c r="H8" s="115" t="s">
        <v>160</v>
      </c>
      <c r="I8" s="115"/>
      <c r="J8" s="116" t="s">
        <v>160</v>
      </c>
    </row>
    <row r="9" spans="1:20" ht="15.75">
      <c r="H9" s="115" t="s">
        <v>161</v>
      </c>
      <c r="I9" s="115"/>
      <c r="J9" s="116" t="s">
        <v>161</v>
      </c>
      <c r="M9" s="121" t="s">
        <v>170</v>
      </c>
      <c r="N9" s="122"/>
      <c r="O9" s="122"/>
      <c r="P9" s="122"/>
      <c r="Q9" s="122"/>
      <c r="R9" s="122"/>
      <c r="S9" s="122"/>
      <c r="T9" s="13"/>
    </row>
    <row r="10" spans="1:20">
      <c r="H10" s="115" t="s">
        <v>162</v>
      </c>
      <c r="I10" s="115"/>
      <c r="J10" s="116" t="s">
        <v>162</v>
      </c>
    </row>
    <row r="11" spans="1:20">
      <c r="H11" s="115" t="s">
        <v>163</v>
      </c>
      <c r="I11" s="115"/>
      <c r="J11" s="116" t="s">
        <v>163</v>
      </c>
    </row>
    <row r="12" spans="1:20">
      <c r="H12" s="115" t="s">
        <v>164</v>
      </c>
      <c r="I12" s="115"/>
      <c r="J12" s="116" t="s">
        <v>164</v>
      </c>
      <c r="M12" s="15" t="s">
        <v>137</v>
      </c>
      <c r="N12" s="15" t="s">
        <v>167</v>
      </c>
      <c r="O12" s="15" t="s">
        <v>168</v>
      </c>
      <c r="P12" s="15" t="s">
        <v>20</v>
      </c>
    </row>
    <row r="15" spans="1:20" ht="18.75">
      <c r="F15" s="117" t="s">
        <v>165</v>
      </c>
      <c r="G15" s="117"/>
      <c r="H15" s="118"/>
      <c r="I15" s="118"/>
    </row>
    <row r="16" spans="1:20" ht="15.75">
      <c r="M16" s="123" t="s">
        <v>171</v>
      </c>
      <c r="N16" s="124"/>
      <c r="O16" s="124"/>
      <c r="P16" s="124"/>
      <c r="Q16" s="124"/>
      <c r="R16" s="124"/>
      <c r="S16" s="125"/>
    </row>
    <row r="17" spans="6:19">
      <c r="F17" s="441" t="s">
        <v>166</v>
      </c>
      <c r="G17" s="441"/>
      <c r="H17" s="441"/>
      <c r="I17" s="441"/>
      <c r="K17" s="119"/>
    </row>
    <row r="18" spans="6:19" ht="63">
      <c r="F18" s="120"/>
      <c r="G18" s="120"/>
      <c r="H18" s="120"/>
      <c r="I18" s="120"/>
      <c r="M18" s="41" t="s">
        <v>137</v>
      </c>
      <c r="N18" s="41"/>
      <c r="O18" s="41"/>
      <c r="P18" s="41"/>
      <c r="Q18" s="126" t="s">
        <v>137</v>
      </c>
      <c r="S18" t="s">
        <v>60</v>
      </c>
    </row>
    <row r="19" spans="6:19" ht="45.75">
      <c r="F19" s="120"/>
      <c r="G19" s="441" t="s">
        <v>167</v>
      </c>
      <c r="H19" s="441"/>
      <c r="I19" s="120"/>
      <c r="M19" s="41" t="s">
        <v>130</v>
      </c>
      <c r="N19" s="41"/>
      <c r="O19" s="41"/>
      <c r="P19" s="41"/>
      <c r="Q19" s="126" t="s">
        <v>130</v>
      </c>
    </row>
    <row r="20" spans="6:19" ht="59.25">
      <c r="F20" s="120"/>
      <c r="G20" s="120"/>
      <c r="H20" s="120"/>
      <c r="I20" s="120"/>
      <c r="M20" s="41" t="s">
        <v>133</v>
      </c>
      <c r="N20" s="41"/>
      <c r="O20" s="41"/>
      <c r="P20" s="41"/>
      <c r="Q20" s="126" t="s">
        <v>133</v>
      </c>
    </row>
    <row r="21" spans="6:19">
      <c r="F21" s="120"/>
      <c r="G21" s="441" t="s">
        <v>169</v>
      </c>
      <c r="H21" s="441"/>
      <c r="I21" s="120"/>
    </row>
    <row r="22" spans="6:19">
      <c r="F22" s="120"/>
      <c r="G22" s="120"/>
      <c r="H22" s="120"/>
      <c r="I22" s="120"/>
      <c r="P22" t="s">
        <v>60</v>
      </c>
    </row>
    <row r="23" spans="6:19">
      <c r="F23" s="120"/>
      <c r="G23" s="442" t="s">
        <v>20</v>
      </c>
      <c r="H23" s="442"/>
      <c r="I23" s="120"/>
    </row>
    <row r="27" spans="6:19" ht="18.75">
      <c r="G27" s="127" t="s">
        <v>172</v>
      </c>
      <c r="H27" s="127" t="s">
        <v>173</v>
      </c>
      <c r="I27" s="127" t="s">
        <v>174</v>
      </c>
      <c r="J27" s="127" t="s">
        <v>175</v>
      </c>
      <c r="L27" s="130" t="s">
        <v>180</v>
      </c>
      <c r="M27" s="131"/>
      <c r="N27" s="131"/>
      <c r="O27" s="131"/>
      <c r="P27" s="131"/>
      <c r="Q27" s="131"/>
      <c r="R27" s="131"/>
      <c r="S27" s="31"/>
    </row>
    <row r="29" spans="6:19">
      <c r="M29" s="132" t="s">
        <v>181</v>
      </c>
      <c r="N29" s="133"/>
      <c r="O29" s="133"/>
    </row>
    <row r="30" spans="6:19" ht="16.5">
      <c r="F30" s="129" t="s">
        <v>176</v>
      </c>
      <c r="J30" s="128" t="s">
        <v>177</v>
      </c>
      <c r="M30" s="132" t="s">
        <v>182</v>
      </c>
      <c r="N30" s="133"/>
      <c r="O30" s="133"/>
    </row>
    <row r="31" spans="6:19" ht="16.5">
      <c r="J31" s="129" t="s">
        <v>178</v>
      </c>
    </row>
    <row r="32" spans="6:19" ht="16.5">
      <c r="J32" s="129" t="s">
        <v>179</v>
      </c>
    </row>
    <row r="33" spans="6:10" ht="16.5">
      <c r="J33" s="129" t="s">
        <v>87</v>
      </c>
    </row>
    <row r="38" spans="6:10" ht="15.75">
      <c r="F38" s="134" t="s">
        <v>183</v>
      </c>
      <c r="G38" s="135"/>
      <c r="H38" s="135"/>
      <c r="I38" s="136"/>
    </row>
    <row r="40" spans="6:10" ht="18">
      <c r="F40" s="137" t="s">
        <v>184</v>
      </c>
      <c r="I40" s="137" t="s">
        <v>185</v>
      </c>
    </row>
    <row r="41" spans="6:10" ht="18">
      <c r="I41" s="137" t="s">
        <v>186</v>
      </c>
      <c r="J41" s="137"/>
    </row>
    <row r="42" spans="6:10" ht="18">
      <c r="I42" s="137" t="s">
        <v>187</v>
      </c>
    </row>
    <row r="43" spans="6:10" ht="18">
      <c r="I43" s="137" t="s">
        <v>188</v>
      </c>
    </row>
    <row r="44" spans="6:10" ht="18">
      <c r="I44" s="137" t="s">
        <v>189</v>
      </c>
    </row>
    <row r="45" spans="6:10" ht="18">
      <c r="I45" s="137" t="s">
        <v>190</v>
      </c>
    </row>
    <row r="48" spans="6:10" ht="15.75">
      <c r="F48" s="139" t="s">
        <v>191</v>
      </c>
      <c r="G48" s="107"/>
      <c r="H48" s="107"/>
      <c r="I48" s="107"/>
    </row>
    <row r="49" spans="6:12">
      <c r="F49" s="140"/>
    </row>
    <row r="50" spans="6:12">
      <c r="F50" s="140" t="s">
        <v>192</v>
      </c>
    </row>
    <row r="51" spans="6:12">
      <c r="F51" s="140" t="s">
        <v>193</v>
      </c>
    </row>
    <row r="52" spans="6:12">
      <c r="F52" s="140" t="s">
        <v>194</v>
      </c>
    </row>
    <row r="53" spans="6:12">
      <c r="F53" s="140" t="s">
        <v>195</v>
      </c>
    </row>
    <row r="54" spans="6:12">
      <c r="F54" s="140" t="s">
        <v>196</v>
      </c>
      <c r="L54" s="138"/>
    </row>
    <row r="55" spans="6:12">
      <c r="F55" s="140" t="s">
        <v>197</v>
      </c>
    </row>
    <row r="56" spans="6:12">
      <c r="F56" s="140" t="s">
        <v>198</v>
      </c>
    </row>
  </sheetData>
  <mergeCells count="4">
    <mergeCell ref="F17:I17"/>
    <mergeCell ref="G19:H19"/>
    <mergeCell ref="G21:H21"/>
    <mergeCell ref="G23:H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07A5E-FCAB-4BFF-9D3C-65F5B2971499}">
  <sheetPr codeName="Sheet9"/>
  <dimension ref="A1:Z81"/>
  <sheetViews>
    <sheetView topLeftCell="A67" zoomScale="110" zoomScaleNormal="110" workbookViewId="0">
      <selection activeCell="H79" sqref="H79"/>
    </sheetView>
  </sheetViews>
  <sheetFormatPr defaultRowHeight="15"/>
  <cols>
    <col min="1" max="1" width="13.140625" customWidth="1"/>
    <col min="2" max="2" width="16" customWidth="1"/>
    <col min="3" max="3" width="12.140625" bestFit="1" customWidth="1"/>
    <col min="4" max="4" width="8.7109375" bestFit="1" customWidth="1"/>
    <col min="5" max="5" width="10.140625" bestFit="1" customWidth="1"/>
    <col min="6" max="6" width="11.140625" customWidth="1"/>
    <col min="7" max="7" width="7.28515625" bestFit="1" customWidth="1"/>
    <col min="8" max="8" width="13.7109375" bestFit="1" customWidth="1"/>
    <col min="9" max="9" width="13.28515625" customWidth="1"/>
    <col min="10" max="10" width="11.5703125" customWidth="1"/>
    <col min="11" max="11" width="13" customWidth="1"/>
    <col min="12" max="12" width="13.85546875" customWidth="1"/>
    <col min="14" max="14" width="11.42578125" customWidth="1"/>
    <col min="15" max="15" width="14.5703125" customWidth="1"/>
    <col min="16" max="16" width="13.28515625" bestFit="1" customWidth="1"/>
    <col min="17" max="17" width="13.7109375" customWidth="1"/>
    <col min="18" max="18" width="10.5703125" customWidth="1"/>
    <col min="19" max="19" width="16.140625" customWidth="1"/>
    <col min="21" max="21" width="9.85546875" customWidth="1"/>
    <col min="22" max="22" width="16.42578125" customWidth="1"/>
    <col min="23" max="23" width="12.140625" bestFit="1" customWidth="1"/>
    <col min="26" max="26" width="13.28515625" bestFit="1" customWidth="1"/>
  </cols>
  <sheetData>
    <row r="1" spans="1:22" ht="45">
      <c r="A1" s="1" t="s">
        <v>199</v>
      </c>
      <c r="B1" s="1" t="s">
        <v>200</v>
      </c>
      <c r="C1" s="1" t="s">
        <v>201</v>
      </c>
      <c r="D1" s="1" t="s">
        <v>202</v>
      </c>
      <c r="E1" s="1" t="s">
        <v>168</v>
      </c>
      <c r="F1" s="1" t="s">
        <v>203</v>
      </c>
      <c r="G1" s="1" t="s">
        <v>204</v>
      </c>
      <c r="I1" s="143"/>
      <c r="J1" s="143"/>
      <c r="K1" s="144" t="s">
        <v>218</v>
      </c>
      <c r="L1" s="143"/>
      <c r="M1" s="143"/>
      <c r="N1" s="143"/>
      <c r="O1" s="143"/>
      <c r="R1" s="443" t="s">
        <v>137</v>
      </c>
      <c r="S1" s="443"/>
    </row>
    <row r="2" spans="1:22" ht="15" customHeight="1">
      <c r="A2" s="2">
        <v>1</v>
      </c>
      <c r="B2" s="142">
        <v>45660</v>
      </c>
      <c r="C2" s="2" t="s">
        <v>205</v>
      </c>
      <c r="D2" s="2" t="s">
        <v>67</v>
      </c>
      <c r="E2" s="2">
        <v>1</v>
      </c>
      <c r="F2" s="2">
        <v>52000</v>
      </c>
      <c r="G2" s="2">
        <v>52000</v>
      </c>
      <c r="I2" s="148" t="s">
        <v>220</v>
      </c>
      <c r="J2" s="145" t="s">
        <v>200</v>
      </c>
      <c r="K2" s="145" t="s">
        <v>201</v>
      </c>
      <c r="L2" s="145" t="s">
        <v>202</v>
      </c>
      <c r="M2" s="145" t="s">
        <v>168</v>
      </c>
      <c r="N2" s="145" t="s">
        <v>203</v>
      </c>
      <c r="O2" s="145" t="s">
        <v>204</v>
      </c>
      <c r="R2" s="163"/>
      <c r="S2" s="163" t="s">
        <v>226</v>
      </c>
      <c r="U2" s="161"/>
      <c r="V2" s="161" t="s">
        <v>233</v>
      </c>
    </row>
    <row r="3" spans="1:22">
      <c r="A3" s="2">
        <v>2</v>
      </c>
      <c r="B3" s="142">
        <v>45664</v>
      </c>
      <c r="C3" s="2" t="s">
        <v>206</v>
      </c>
      <c r="D3" s="2" t="s">
        <v>68</v>
      </c>
      <c r="E3" s="2">
        <v>2</v>
      </c>
      <c r="F3" s="2">
        <v>500</v>
      </c>
      <c r="G3" s="2">
        <v>1000</v>
      </c>
      <c r="I3" s="146">
        <v>1</v>
      </c>
      <c r="J3" s="147">
        <v>45660</v>
      </c>
      <c r="K3" s="146" t="s">
        <v>205</v>
      </c>
      <c r="L3" s="146" t="s">
        <v>67</v>
      </c>
      <c r="M3" s="146">
        <v>1</v>
      </c>
      <c r="N3" s="146">
        <v>52000</v>
      </c>
      <c r="O3" s="146">
        <v>52000</v>
      </c>
      <c r="P3" t="s">
        <v>60</v>
      </c>
      <c r="R3" s="164">
        <v>1</v>
      </c>
      <c r="S3" s="163" t="s">
        <v>232</v>
      </c>
      <c r="U3" s="161">
        <v>1</v>
      </c>
      <c r="V3" s="161" t="s">
        <v>223</v>
      </c>
    </row>
    <row r="4" spans="1:22" ht="45">
      <c r="A4" s="2">
        <v>3</v>
      </c>
      <c r="B4" s="142">
        <v>45667</v>
      </c>
      <c r="C4" s="2" t="s">
        <v>207</v>
      </c>
      <c r="D4" s="2" t="s">
        <v>217</v>
      </c>
      <c r="E4" s="2">
        <v>1</v>
      </c>
      <c r="F4" s="2">
        <v>25000</v>
      </c>
      <c r="G4" s="2">
        <v>25000</v>
      </c>
      <c r="I4" s="146">
        <v>2</v>
      </c>
      <c r="J4" s="147">
        <v>45664</v>
      </c>
      <c r="K4" s="146" t="s">
        <v>206</v>
      </c>
      <c r="L4" s="146" t="s">
        <v>68</v>
      </c>
      <c r="M4" s="146">
        <v>2</v>
      </c>
      <c r="N4" s="146">
        <v>500</v>
      </c>
      <c r="O4" s="146">
        <v>1000</v>
      </c>
      <c r="R4" s="164">
        <v>2</v>
      </c>
      <c r="S4" s="163" t="s">
        <v>228</v>
      </c>
      <c r="U4" s="161">
        <v>2</v>
      </c>
      <c r="V4" s="161" t="s">
        <v>230</v>
      </c>
    </row>
    <row r="5" spans="1:22" ht="30">
      <c r="A5" s="2">
        <v>4</v>
      </c>
      <c r="B5" s="142">
        <v>45672</v>
      </c>
      <c r="C5" s="2" t="s">
        <v>209</v>
      </c>
      <c r="D5" s="2" t="s">
        <v>71</v>
      </c>
      <c r="E5" s="2">
        <v>3</v>
      </c>
      <c r="F5" s="2">
        <v>1500</v>
      </c>
      <c r="G5" s="2">
        <v>4500</v>
      </c>
      <c r="I5" s="146">
        <v>3</v>
      </c>
      <c r="J5" s="147">
        <v>45667</v>
      </c>
      <c r="K5" s="146" t="s">
        <v>207</v>
      </c>
      <c r="L5" s="146" t="s">
        <v>208</v>
      </c>
      <c r="M5" s="146">
        <v>1</v>
      </c>
      <c r="N5" s="146">
        <v>25000</v>
      </c>
      <c r="O5" s="146">
        <v>25000</v>
      </c>
      <c r="R5" s="164">
        <v>3</v>
      </c>
      <c r="S5" s="163" t="s">
        <v>224</v>
      </c>
      <c r="U5" s="161">
        <v>3</v>
      </c>
      <c r="V5" s="161" t="s">
        <v>212</v>
      </c>
    </row>
    <row r="6" spans="1:22" ht="30">
      <c r="A6" s="2">
        <v>5</v>
      </c>
      <c r="B6" s="142">
        <v>45676</v>
      </c>
      <c r="C6" s="2" t="s">
        <v>210</v>
      </c>
      <c r="D6" s="2" t="s">
        <v>58</v>
      </c>
      <c r="E6" s="2">
        <v>1</v>
      </c>
      <c r="F6" s="2">
        <v>1200</v>
      </c>
      <c r="G6" s="2">
        <v>1200</v>
      </c>
      <c r="I6" s="146">
        <v>4</v>
      </c>
      <c r="J6" s="147">
        <v>45672</v>
      </c>
      <c r="K6" s="146" t="s">
        <v>209</v>
      </c>
      <c r="L6" s="146" t="s">
        <v>71</v>
      </c>
      <c r="M6" s="146">
        <v>3</v>
      </c>
      <c r="N6" s="146">
        <v>1500</v>
      </c>
      <c r="O6" s="146">
        <v>4500</v>
      </c>
      <c r="R6" s="164">
        <v>4</v>
      </c>
      <c r="S6" s="163" t="s">
        <v>71</v>
      </c>
      <c r="U6" s="161">
        <v>4</v>
      </c>
      <c r="V6" s="161" t="s">
        <v>227</v>
      </c>
    </row>
    <row r="7" spans="1:22" ht="30">
      <c r="A7" s="2">
        <v>6</v>
      </c>
      <c r="B7" s="142">
        <v>45690</v>
      </c>
      <c r="C7" s="2" t="s">
        <v>211</v>
      </c>
      <c r="D7" s="2" t="s">
        <v>212</v>
      </c>
      <c r="E7" s="2">
        <v>2</v>
      </c>
      <c r="F7" s="2">
        <v>18000</v>
      </c>
      <c r="G7" s="2">
        <v>36000</v>
      </c>
      <c r="I7" s="146">
        <v>5</v>
      </c>
      <c r="J7" s="147">
        <v>45676</v>
      </c>
      <c r="K7" s="146" t="s">
        <v>210</v>
      </c>
      <c r="L7" s="146" t="s">
        <v>58</v>
      </c>
      <c r="M7" s="146">
        <v>1</v>
      </c>
      <c r="N7" s="146">
        <v>1200</v>
      </c>
      <c r="O7" s="146">
        <v>1200</v>
      </c>
      <c r="R7" s="164">
        <v>5</v>
      </c>
      <c r="S7" s="165" t="s">
        <v>67</v>
      </c>
      <c r="U7" s="161">
        <v>5</v>
      </c>
      <c r="V7" s="161" t="s">
        <v>50</v>
      </c>
    </row>
    <row r="8" spans="1:22" ht="30">
      <c r="A8" s="2">
        <v>7</v>
      </c>
      <c r="B8" s="142">
        <v>45696</v>
      </c>
      <c r="C8" s="2" t="s">
        <v>213</v>
      </c>
      <c r="D8" s="2" t="s">
        <v>50</v>
      </c>
      <c r="E8" s="2">
        <v>1</v>
      </c>
      <c r="F8" s="2">
        <v>11000</v>
      </c>
      <c r="G8" s="2">
        <v>11000</v>
      </c>
      <c r="I8" s="146">
        <v>6</v>
      </c>
      <c r="J8" s="147">
        <v>45690</v>
      </c>
      <c r="K8" s="146" t="s">
        <v>211</v>
      </c>
      <c r="L8" s="146" t="s">
        <v>212</v>
      </c>
      <c r="M8" s="146">
        <v>2</v>
      </c>
      <c r="N8" s="146">
        <v>18000</v>
      </c>
      <c r="O8" s="146">
        <v>36000</v>
      </c>
      <c r="R8" s="164">
        <v>6</v>
      </c>
      <c r="S8" s="163" t="s">
        <v>229</v>
      </c>
      <c r="U8" s="161">
        <v>6</v>
      </c>
      <c r="V8" s="161" t="s">
        <v>208</v>
      </c>
    </row>
    <row r="9" spans="1:22">
      <c r="A9" s="2">
        <v>8</v>
      </c>
      <c r="B9" s="142">
        <v>45700</v>
      </c>
      <c r="C9" s="2" t="s">
        <v>214</v>
      </c>
      <c r="D9" s="2" t="s">
        <v>67</v>
      </c>
      <c r="E9" s="2">
        <v>1</v>
      </c>
      <c r="F9" s="2">
        <v>60000</v>
      </c>
      <c r="G9" s="2">
        <v>60000</v>
      </c>
      <c r="I9" s="146">
        <v>7</v>
      </c>
      <c r="J9" s="147">
        <v>45696</v>
      </c>
      <c r="K9" s="146" t="s">
        <v>213</v>
      </c>
      <c r="L9" s="146" t="s">
        <v>50</v>
      </c>
      <c r="M9" s="146">
        <v>1</v>
      </c>
      <c r="N9" s="146">
        <v>11000</v>
      </c>
      <c r="O9" s="146">
        <v>11000</v>
      </c>
      <c r="R9" s="164">
        <v>7</v>
      </c>
      <c r="S9" s="163" t="s">
        <v>69</v>
      </c>
      <c r="U9" s="161">
        <v>7</v>
      </c>
      <c r="V9" s="161" t="s">
        <v>231</v>
      </c>
    </row>
    <row r="10" spans="1:22" ht="30">
      <c r="A10" s="2">
        <v>9</v>
      </c>
      <c r="B10" s="142">
        <v>45707</v>
      </c>
      <c r="C10" s="2" t="s">
        <v>215</v>
      </c>
      <c r="D10" s="2" t="s">
        <v>208</v>
      </c>
      <c r="E10" s="2">
        <v>2</v>
      </c>
      <c r="F10" s="2">
        <v>22000</v>
      </c>
      <c r="G10" s="2">
        <v>44000</v>
      </c>
      <c r="I10" s="146">
        <v>8</v>
      </c>
      <c r="J10" s="147">
        <v>45700</v>
      </c>
      <c r="K10" s="146" t="s">
        <v>214</v>
      </c>
      <c r="L10" s="146" t="s">
        <v>67</v>
      </c>
      <c r="M10" s="146">
        <v>1</v>
      </c>
      <c r="N10" s="146">
        <v>60000</v>
      </c>
      <c r="O10" s="146">
        <v>60000</v>
      </c>
      <c r="R10" s="164">
        <v>8</v>
      </c>
      <c r="S10" s="163" t="s">
        <v>141</v>
      </c>
      <c r="U10" s="161">
        <v>8</v>
      </c>
      <c r="V10" s="161" t="s">
        <v>225</v>
      </c>
    </row>
    <row r="11" spans="1:22" ht="30">
      <c r="A11" s="2">
        <v>10</v>
      </c>
      <c r="B11" s="142">
        <v>45713</v>
      </c>
      <c r="C11" s="2" t="s">
        <v>216</v>
      </c>
      <c r="D11" s="2" t="s">
        <v>68</v>
      </c>
      <c r="E11" s="2">
        <v>5</v>
      </c>
      <c r="F11" s="2">
        <v>450</v>
      </c>
      <c r="G11" s="2">
        <v>2250</v>
      </c>
      <c r="I11" s="146">
        <v>9</v>
      </c>
      <c r="J11" s="147">
        <v>45707</v>
      </c>
      <c r="K11" s="146" t="s">
        <v>215</v>
      </c>
      <c r="L11" s="146" t="s">
        <v>208</v>
      </c>
      <c r="M11" s="146">
        <v>2</v>
      </c>
      <c r="N11" s="146">
        <v>22000</v>
      </c>
      <c r="O11" s="146">
        <v>44000</v>
      </c>
      <c r="R11" s="164">
        <v>9</v>
      </c>
      <c r="S11" s="163" t="s">
        <v>225</v>
      </c>
      <c r="U11" s="161">
        <v>9</v>
      </c>
      <c r="V11" s="161" t="s">
        <v>141</v>
      </c>
    </row>
    <row r="12" spans="1:22">
      <c r="I12" s="146">
        <v>10</v>
      </c>
      <c r="J12" s="147">
        <v>45713</v>
      </c>
      <c r="K12" s="146" t="s">
        <v>216</v>
      </c>
      <c r="L12" s="146" t="s">
        <v>68</v>
      </c>
      <c r="M12" s="146">
        <v>5</v>
      </c>
      <c r="N12" s="146">
        <v>450</v>
      </c>
      <c r="O12" s="146">
        <v>2250</v>
      </c>
      <c r="R12" s="164">
        <v>10</v>
      </c>
      <c r="S12" s="163" t="s">
        <v>231</v>
      </c>
      <c r="U12" s="161">
        <v>10</v>
      </c>
      <c r="V12" s="161" t="s">
        <v>69</v>
      </c>
    </row>
    <row r="13" spans="1:22">
      <c r="B13" s="149"/>
      <c r="C13" s="150" t="s">
        <v>219</v>
      </c>
      <c r="D13" s="149"/>
      <c r="E13" s="149"/>
      <c r="F13" s="149"/>
      <c r="G13" s="149"/>
      <c r="H13" s="149"/>
      <c r="R13" s="164">
        <v>11</v>
      </c>
      <c r="S13" s="163" t="s">
        <v>208</v>
      </c>
      <c r="U13" s="161">
        <v>11</v>
      </c>
      <c r="V13" s="161" t="s">
        <v>229</v>
      </c>
    </row>
    <row r="14" spans="1:22" ht="20.25" customHeight="1">
      <c r="B14" s="151" t="s">
        <v>220</v>
      </c>
      <c r="C14" s="152" t="s">
        <v>200</v>
      </c>
      <c r="D14" s="152" t="s">
        <v>201</v>
      </c>
      <c r="E14" s="152" t="s">
        <v>202</v>
      </c>
      <c r="F14" s="152" t="s">
        <v>168</v>
      </c>
      <c r="G14" s="152" t="s">
        <v>203</v>
      </c>
      <c r="H14" s="152" t="s">
        <v>204</v>
      </c>
      <c r="J14" s="155"/>
      <c r="K14" s="156" t="s">
        <v>221</v>
      </c>
      <c r="L14" s="155"/>
      <c r="M14" s="155"/>
      <c r="N14" s="155"/>
      <c r="O14" s="155"/>
      <c r="P14" s="155"/>
      <c r="R14" s="164">
        <v>12</v>
      </c>
      <c r="S14" s="163" t="s">
        <v>50</v>
      </c>
      <c r="U14" s="161">
        <v>12</v>
      </c>
      <c r="V14" s="162" t="s">
        <v>67</v>
      </c>
    </row>
    <row r="15" spans="1:22" ht="30">
      <c r="B15" s="153">
        <v>1</v>
      </c>
      <c r="C15" s="154">
        <v>45713</v>
      </c>
      <c r="D15" s="153" t="s">
        <v>205</v>
      </c>
      <c r="E15" s="153" t="s">
        <v>67</v>
      </c>
      <c r="F15" s="153">
        <v>1</v>
      </c>
      <c r="G15" s="153">
        <v>52000</v>
      </c>
      <c r="H15" s="153">
        <v>52000</v>
      </c>
      <c r="J15" s="155" t="s">
        <v>220</v>
      </c>
      <c r="K15" s="155" t="s">
        <v>200</v>
      </c>
      <c r="L15" s="155" t="s">
        <v>201</v>
      </c>
      <c r="M15" s="155" t="s">
        <v>202</v>
      </c>
      <c r="N15" s="155" t="s">
        <v>168</v>
      </c>
      <c r="O15" s="155" t="s">
        <v>203</v>
      </c>
      <c r="P15" s="155" t="s">
        <v>204</v>
      </c>
      <c r="R15" s="164">
        <v>13</v>
      </c>
      <c r="S15" s="163" t="s">
        <v>227</v>
      </c>
      <c r="U15" s="161">
        <v>13</v>
      </c>
      <c r="V15" s="161" t="s">
        <v>71</v>
      </c>
    </row>
    <row r="16" spans="1:22" ht="30">
      <c r="B16" s="153">
        <v>2</v>
      </c>
      <c r="C16" s="154">
        <v>45707</v>
      </c>
      <c r="D16" s="153" t="s">
        <v>206</v>
      </c>
      <c r="E16" s="153" t="s">
        <v>68</v>
      </c>
      <c r="F16" s="153">
        <v>2</v>
      </c>
      <c r="G16" s="153">
        <v>500</v>
      </c>
      <c r="H16" s="153">
        <v>1000</v>
      </c>
      <c r="J16" s="155">
        <v>1</v>
      </c>
      <c r="K16" s="155">
        <v>45713</v>
      </c>
      <c r="L16" s="155" t="s">
        <v>205</v>
      </c>
      <c r="M16" s="155" t="s">
        <v>67</v>
      </c>
      <c r="N16" s="155">
        <v>1</v>
      </c>
      <c r="O16" s="155">
        <v>52000</v>
      </c>
      <c r="P16" s="155">
        <v>1000</v>
      </c>
      <c r="R16" s="164">
        <v>14</v>
      </c>
      <c r="S16" s="163" t="s">
        <v>212</v>
      </c>
      <c r="U16" s="161">
        <v>14</v>
      </c>
      <c r="V16" s="161" t="s">
        <v>224</v>
      </c>
    </row>
    <row r="17" spans="1:26" ht="15.75" customHeight="1">
      <c r="B17" s="153">
        <v>3</v>
      </c>
      <c r="C17" s="154">
        <v>45700</v>
      </c>
      <c r="D17" s="153" t="s">
        <v>207</v>
      </c>
      <c r="E17" s="153" t="s">
        <v>208</v>
      </c>
      <c r="F17" s="153">
        <v>1</v>
      </c>
      <c r="G17" s="153">
        <v>25000</v>
      </c>
      <c r="H17" s="153">
        <v>25000</v>
      </c>
      <c r="J17" s="155">
        <v>2</v>
      </c>
      <c r="K17" s="155">
        <v>45707</v>
      </c>
      <c r="L17" s="155" t="s">
        <v>206</v>
      </c>
      <c r="M17" s="155" t="s">
        <v>68</v>
      </c>
      <c r="N17" s="155">
        <v>2</v>
      </c>
      <c r="O17" s="155">
        <v>500</v>
      </c>
      <c r="P17" s="155">
        <v>1200</v>
      </c>
      <c r="R17" s="164">
        <v>15</v>
      </c>
      <c r="S17" s="163" t="s">
        <v>230</v>
      </c>
      <c r="U17" s="161">
        <v>15</v>
      </c>
      <c r="V17" s="161" t="s">
        <v>228</v>
      </c>
    </row>
    <row r="18" spans="1:26" ht="15.75" customHeight="1">
      <c r="B18" s="153">
        <v>4</v>
      </c>
      <c r="C18" s="154">
        <v>45696</v>
      </c>
      <c r="D18" s="153" t="s">
        <v>209</v>
      </c>
      <c r="E18" s="153" t="s">
        <v>71</v>
      </c>
      <c r="F18" s="153">
        <v>3</v>
      </c>
      <c r="G18" s="153">
        <v>1500</v>
      </c>
      <c r="H18" s="153">
        <v>4500</v>
      </c>
      <c r="J18" s="155">
        <v>3</v>
      </c>
      <c r="K18" s="155">
        <v>45700</v>
      </c>
      <c r="L18" s="155" t="s">
        <v>207</v>
      </c>
      <c r="M18" s="155" t="s">
        <v>208</v>
      </c>
      <c r="N18" s="155">
        <v>1</v>
      </c>
      <c r="O18" s="155">
        <v>25000</v>
      </c>
      <c r="P18" s="155">
        <v>2250</v>
      </c>
      <c r="R18" s="164">
        <v>16</v>
      </c>
      <c r="S18" s="163" t="s">
        <v>223</v>
      </c>
      <c r="U18" s="161">
        <v>16</v>
      </c>
      <c r="V18" s="161" t="s">
        <v>232</v>
      </c>
    </row>
    <row r="19" spans="1:26" ht="15.75" customHeight="1">
      <c r="B19" s="153">
        <v>5</v>
      </c>
      <c r="C19" s="154">
        <v>45690</v>
      </c>
      <c r="D19" s="153" t="s">
        <v>210</v>
      </c>
      <c r="E19" s="153" t="s">
        <v>58</v>
      </c>
      <c r="F19" s="153">
        <v>1</v>
      </c>
      <c r="G19" s="153">
        <v>1200</v>
      </c>
      <c r="H19" s="153">
        <v>1200</v>
      </c>
      <c r="J19" s="155">
        <v>4</v>
      </c>
      <c r="K19" s="155">
        <v>45696</v>
      </c>
      <c r="L19" s="155" t="s">
        <v>209</v>
      </c>
      <c r="M19" s="155" t="s">
        <v>71</v>
      </c>
      <c r="N19" s="155">
        <v>3</v>
      </c>
      <c r="O19" s="155">
        <v>1500</v>
      </c>
      <c r="P19" s="155">
        <v>4500</v>
      </c>
      <c r="R19" s="160"/>
    </row>
    <row r="20" spans="1:26" ht="30">
      <c r="B20" s="153">
        <v>6</v>
      </c>
      <c r="C20" s="154">
        <v>45676</v>
      </c>
      <c r="D20" s="153" t="s">
        <v>211</v>
      </c>
      <c r="E20" s="153" t="s">
        <v>212</v>
      </c>
      <c r="F20" s="153">
        <v>2</v>
      </c>
      <c r="G20" s="153">
        <v>18000</v>
      </c>
      <c r="H20" s="153">
        <v>36000</v>
      </c>
      <c r="J20" s="155">
        <v>5</v>
      </c>
      <c r="K20" s="155">
        <v>45690</v>
      </c>
      <c r="L20" s="155" t="s">
        <v>210</v>
      </c>
      <c r="M20" s="155" t="s">
        <v>58</v>
      </c>
      <c r="N20" s="155">
        <v>1</v>
      </c>
      <c r="O20" s="155">
        <v>1200</v>
      </c>
      <c r="P20" s="155">
        <v>11000</v>
      </c>
      <c r="R20" s="160"/>
      <c r="S20" s="166" t="s">
        <v>239</v>
      </c>
      <c r="T20" s="167"/>
      <c r="U20" s="167"/>
    </row>
    <row r="21" spans="1:26" ht="15" customHeight="1">
      <c r="B21" s="153">
        <v>7</v>
      </c>
      <c r="C21" s="154">
        <v>45672</v>
      </c>
      <c r="D21" s="153" t="s">
        <v>213</v>
      </c>
      <c r="E21" s="153" t="s">
        <v>50</v>
      </c>
      <c r="F21" s="153">
        <v>1</v>
      </c>
      <c r="G21" s="153">
        <v>11000</v>
      </c>
      <c r="H21" s="153">
        <v>11000</v>
      </c>
      <c r="J21" s="155">
        <v>6</v>
      </c>
      <c r="K21" s="155">
        <v>45676</v>
      </c>
      <c r="L21" s="155" t="s">
        <v>211</v>
      </c>
      <c r="M21" s="155" t="s">
        <v>212</v>
      </c>
      <c r="N21" s="155">
        <v>2</v>
      </c>
      <c r="O21" s="155">
        <v>18000</v>
      </c>
      <c r="P21" s="155">
        <v>25000</v>
      </c>
      <c r="R21" s="160"/>
      <c r="S21" s="167"/>
      <c r="T21" s="167"/>
      <c r="U21" s="167"/>
    </row>
    <row r="22" spans="1:26" ht="13.5" customHeight="1">
      <c r="B22" s="153">
        <v>8</v>
      </c>
      <c r="C22" s="154">
        <v>45667</v>
      </c>
      <c r="D22" s="153" t="s">
        <v>214</v>
      </c>
      <c r="E22" s="153" t="s">
        <v>67</v>
      </c>
      <c r="F22" s="153">
        <v>1</v>
      </c>
      <c r="G22" s="153">
        <v>60000</v>
      </c>
      <c r="H22" s="153">
        <v>60000</v>
      </c>
      <c r="J22" s="155">
        <v>7</v>
      </c>
      <c r="K22" s="155">
        <v>45672</v>
      </c>
      <c r="L22" s="155" t="s">
        <v>213</v>
      </c>
      <c r="M22" s="155" t="s">
        <v>50</v>
      </c>
      <c r="N22" s="155">
        <v>1</v>
      </c>
      <c r="O22" s="155">
        <v>11000</v>
      </c>
      <c r="P22" s="155">
        <v>36000</v>
      </c>
      <c r="R22" s="160"/>
      <c r="S22" s="168" t="s">
        <v>234</v>
      </c>
      <c r="T22" s="167"/>
      <c r="U22" s="167"/>
    </row>
    <row r="23" spans="1:26" ht="15.75" customHeight="1">
      <c r="B23" s="153">
        <v>9</v>
      </c>
      <c r="C23" s="154">
        <v>45664</v>
      </c>
      <c r="D23" s="153" t="s">
        <v>215</v>
      </c>
      <c r="E23" s="153" t="s">
        <v>208</v>
      </c>
      <c r="F23" s="153">
        <v>2</v>
      </c>
      <c r="G23" s="153">
        <v>22000</v>
      </c>
      <c r="H23" s="153">
        <v>44000</v>
      </c>
      <c r="J23" s="155">
        <v>8</v>
      </c>
      <c r="K23" s="155">
        <v>45667</v>
      </c>
      <c r="L23" s="155" t="s">
        <v>214</v>
      </c>
      <c r="M23" s="155" t="s">
        <v>67</v>
      </c>
      <c r="N23" s="155">
        <v>1</v>
      </c>
      <c r="O23" s="155">
        <v>60000</v>
      </c>
      <c r="P23" s="155">
        <v>44000</v>
      </c>
      <c r="R23" s="160"/>
      <c r="S23" s="167" t="s">
        <v>235</v>
      </c>
      <c r="T23" s="167"/>
      <c r="U23" s="167"/>
    </row>
    <row r="24" spans="1:26" ht="45">
      <c r="B24" s="153">
        <v>10</v>
      </c>
      <c r="C24" s="154">
        <v>45660</v>
      </c>
      <c r="D24" s="153" t="s">
        <v>216</v>
      </c>
      <c r="E24" s="153" t="s">
        <v>68</v>
      </c>
      <c r="F24" s="153">
        <v>5</v>
      </c>
      <c r="G24" s="153">
        <v>450</v>
      </c>
      <c r="H24" s="153">
        <v>2250</v>
      </c>
      <c r="J24" s="155">
        <v>9</v>
      </c>
      <c r="K24" s="155">
        <v>45664</v>
      </c>
      <c r="L24" s="155" t="s">
        <v>215</v>
      </c>
      <c r="M24" s="155" t="s">
        <v>208</v>
      </c>
      <c r="N24" s="155">
        <v>2</v>
      </c>
      <c r="O24" s="155">
        <v>22000</v>
      </c>
      <c r="P24" s="155">
        <v>52000</v>
      </c>
      <c r="R24" s="160"/>
      <c r="S24" s="167" t="s">
        <v>236</v>
      </c>
      <c r="T24" s="167"/>
      <c r="U24" s="167"/>
    </row>
    <row r="25" spans="1:26">
      <c r="J25" s="155">
        <v>10</v>
      </c>
      <c r="K25" s="155">
        <v>45660</v>
      </c>
      <c r="L25" s="155" t="s">
        <v>216</v>
      </c>
      <c r="M25" s="155" t="s">
        <v>68</v>
      </c>
      <c r="N25" s="155">
        <v>5</v>
      </c>
      <c r="O25" s="155">
        <v>450</v>
      </c>
      <c r="P25" s="155">
        <v>60000</v>
      </c>
      <c r="R25" s="160"/>
      <c r="S25" s="167" t="s">
        <v>237</v>
      </c>
      <c r="T25" s="167"/>
      <c r="U25" s="167"/>
    </row>
    <row r="26" spans="1:26">
      <c r="J26" s="155"/>
      <c r="K26" s="155"/>
      <c r="L26" s="155"/>
      <c r="M26" s="155"/>
      <c r="N26" s="155"/>
      <c r="O26" s="155"/>
      <c r="P26" s="155"/>
      <c r="R26" s="160"/>
      <c r="S26" s="167" t="s">
        <v>238</v>
      </c>
      <c r="T26" s="167"/>
      <c r="U26" s="167"/>
    </row>
    <row r="27" spans="1:26">
      <c r="F27" s="157"/>
      <c r="G27" s="158" t="s">
        <v>222</v>
      </c>
      <c r="H27" s="157"/>
      <c r="I27" s="157"/>
      <c r="J27" s="157"/>
      <c r="K27" s="157"/>
      <c r="L27" s="157"/>
      <c r="R27" s="160"/>
    </row>
    <row r="28" spans="1:26">
      <c r="F28" s="157" t="s">
        <v>220</v>
      </c>
      <c r="G28" s="157" t="s">
        <v>200</v>
      </c>
      <c r="H28" s="157" t="s">
        <v>201</v>
      </c>
      <c r="I28" s="157" t="s">
        <v>202</v>
      </c>
      <c r="J28" s="157" t="s">
        <v>168</v>
      </c>
      <c r="K28" s="157" t="s">
        <v>203</v>
      </c>
      <c r="L28" s="159" t="s">
        <v>204</v>
      </c>
      <c r="R28" s="160"/>
    </row>
    <row r="29" spans="1:26">
      <c r="A29" s="177" t="s">
        <v>245</v>
      </c>
      <c r="B29" s="29"/>
      <c r="C29" s="29"/>
      <c r="D29" s="29"/>
      <c r="F29" s="157">
        <v>1</v>
      </c>
      <c r="G29" s="157">
        <v>45713</v>
      </c>
      <c r="H29" s="157" t="s">
        <v>205</v>
      </c>
      <c r="I29" s="157" t="s">
        <v>67</v>
      </c>
      <c r="J29" s="157">
        <v>1</v>
      </c>
      <c r="K29" s="157">
        <v>52000</v>
      </c>
      <c r="L29" s="157">
        <v>60000</v>
      </c>
      <c r="N29" s="169" t="s">
        <v>240</v>
      </c>
      <c r="O29" s="170"/>
      <c r="P29" s="170"/>
      <c r="Q29" s="170"/>
      <c r="R29" s="160"/>
      <c r="U29" s="174" t="s">
        <v>241</v>
      </c>
      <c r="V29" s="175"/>
    </row>
    <row r="30" spans="1:26" ht="12.75" customHeight="1">
      <c r="A30" s="29"/>
      <c r="B30" s="29"/>
      <c r="C30" s="29"/>
      <c r="D30" s="29"/>
      <c r="F30" s="157">
        <v>2</v>
      </c>
      <c r="G30" s="157">
        <v>45707</v>
      </c>
      <c r="H30" s="157" t="s">
        <v>206</v>
      </c>
      <c r="I30" s="157" t="s">
        <v>68</v>
      </c>
      <c r="J30" s="157">
        <v>2</v>
      </c>
      <c r="K30" s="157">
        <v>500</v>
      </c>
      <c r="L30" s="157">
        <v>52000</v>
      </c>
      <c r="N30" s="170"/>
      <c r="O30" s="171" t="s">
        <v>202</v>
      </c>
      <c r="P30" s="171" t="s">
        <v>204</v>
      </c>
      <c r="Q30" s="170"/>
      <c r="R30" s="160"/>
      <c r="S30" t="s">
        <v>60</v>
      </c>
    </row>
    <row r="31" spans="1:26">
      <c r="A31" s="178" t="s">
        <v>242</v>
      </c>
      <c r="B31" s="29"/>
      <c r="C31" s="29"/>
      <c r="D31" s="29"/>
      <c r="F31" s="157">
        <v>3</v>
      </c>
      <c r="G31" s="157">
        <v>45700</v>
      </c>
      <c r="H31" s="157" t="s">
        <v>207</v>
      </c>
      <c r="I31" s="157" t="s">
        <v>208</v>
      </c>
      <c r="J31" s="157">
        <v>1</v>
      </c>
      <c r="K31" s="157">
        <v>25000</v>
      </c>
      <c r="L31" s="157">
        <v>44000</v>
      </c>
      <c r="N31" s="170"/>
      <c r="O31" s="172" t="s">
        <v>71</v>
      </c>
      <c r="P31" s="172">
        <v>60000</v>
      </c>
      <c r="Q31" s="170"/>
      <c r="R31" s="160"/>
      <c r="T31" t="s">
        <v>199</v>
      </c>
      <c r="U31" t="s">
        <v>200</v>
      </c>
      <c r="V31" t="s">
        <v>201</v>
      </c>
      <c r="W31" t="s">
        <v>202</v>
      </c>
      <c r="X31" t="s">
        <v>168</v>
      </c>
      <c r="Y31" t="s">
        <v>203</v>
      </c>
      <c r="Z31" t="s">
        <v>204</v>
      </c>
    </row>
    <row r="32" spans="1:26">
      <c r="A32" s="178" t="s">
        <v>243</v>
      </c>
      <c r="B32" s="29"/>
      <c r="C32" s="29"/>
      <c r="D32" s="29"/>
      <c r="F32" s="157">
        <v>4</v>
      </c>
      <c r="G32" s="157">
        <v>45696</v>
      </c>
      <c r="H32" s="157" t="s">
        <v>209</v>
      </c>
      <c r="I32" s="157" t="s">
        <v>71</v>
      </c>
      <c r="J32" s="157">
        <v>3</v>
      </c>
      <c r="K32" s="157">
        <v>1500</v>
      </c>
      <c r="L32" s="157">
        <v>36000</v>
      </c>
      <c r="N32" s="170"/>
      <c r="O32" s="172" t="s">
        <v>58</v>
      </c>
      <c r="P32" s="172">
        <v>52000</v>
      </c>
      <c r="Q32" s="170"/>
      <c r="R32" s="160"/>
      <c r="T32">
        <v>1</v>
      </c>
      <c r="U32">
        <v>45660</v>
      </c>
      <c r="V32" t="s">
        <v>205</v>
      </c>
      <c r="W32" t="s">
        <v>67</v>
      </c>
      <c r="X32">
        <v>1</v>
      </c>
      <c r="Y32">
        <v>52000</v>
      </c>
      <c r="Z32" s="31">
        <v>52000</v>
      </c>
    </row>
    <row r="33" spans="1:26">
      <c r="A33" s="178" t="s">
        <v>244</v>
      </c>
      <c r="B33" s="29"/>
      <c r="C33" s="29"/>
      <c r="D33" s="29"/>
      <c r="F33" s="157">
        <v>5</v>
      </c>
      <c r="G33" s="157">
        <v>45690</v>
      </c>
      <c r="H33" s="157" t="s">
        <v>210</v>
      </c>
      <c r="I33" s="157" t="s">
        <v>58</v>
      </c>
      <c r="J33" s="157">
        <v>1</v>
      </c>
      <c r="K33" s="157">
        <v>1200</v>
      </c>
      <c r="L33" s="157">
        <v>25000</v>
      </c>
      <c r="N33" s="170"/>
      <c r="O33" s="172" t="s">
        <v>67</v>
      </c>
      <c r="P33" s="172">
        <v>44000</v>
      </c>
      <c r="Q33" s="170"/>
      <c r="R33" s="160"/>
      <c r="T33">
        <v>2</v>
      </c>
      <c r="U33">
        <v>45664</v>
      </c>
      <c r="V33" t="s">
        <v>206</v>
      </c>
      <c r="W33" t="s">
        <v>68</v>
      </c>
      <c r="X33">
        <v>2</v>
      </c>
      <c r="Y33">
        <v>500</v>
      </c>
      <c r="Z33" s="31">
        <v>60000</v>
      </c>
    </row>
    <row r="34" spans="1:26">
      <c r="F34" s="157">
        <v>6</v>
      </c>
      <c r="G34" s="157">
        <v>45676</v>
      </c>
      <c r="H34" s="157" t="s">
        <v>211</v>
      </c>
      <c r="I34" s="157" t="s">
        <v>212</v>
      </c>
      <c r="J34" s="157">
        <v>2</v>
      </c>
      <c r="K34" s="157">
        <v>18000</v>
      </c>
      <c r="L34" s="157">
        <v>11000</v>
      </c>
      <c r="N34" s="170"/>
      <c r="O34" s="172" t="s">
        <v>67</v>
      </c>
      <c r="P34" s="172">
        <v>36000</v>
      </c>
      <c r="Q34" s="170"/>
      <c r="R34" s="160"/>
      <c r="T34">
        <v>3</v>
      </c>
      <c r="U34">
        <v>45667</v>
      </c>
      <c r="V34" t="s">
        <v>207</v>
      </c>
      <c r="W34" t="s">
        <v>217</v>
      </c>
      <c r="X34">
        <v>1</v>
      </c>
      <c r="Y34">
        <v>25000</v>
      </c>
      <c r="Z34" s="31">
        <v>44000</v>
      </c>
    </row>
    <row r="35" spans="1:26">
      <c r="F35" s="157">
        <v>7</v>
      </c>
      <c r="G35" s="157">
        <v>45672</v>
      </c>
      <c r="H35" s="157" t="s">
        <v>213</v>
      </c>
      <c r="I35" s="157" t="s">
        <v>50</v>
      </c>
      <c r="J35" s="157">
        <v>1</v>
      </c>
      <c r="K35" s="157">
        <v>11000</v>
      </c>
      <c r="L35" s="157">
        <v>4500</v>
      </c>
      <c r="N35" s="170"/>
      <c r="O35" s="172" t="s">
        <v>68</v>
      </c>
      <c r="P35" s="172">
        <v>25000</v>
      </c>
      <c r="Q35" s="170"/>
      <c r="R35" s="160"/>
      <c r="T35">
        <v>4</v>
      </c>
      <c r="U35">
        <v>45672</v>
      </c>
      <c r="V35" t="s">
        <v>209</v>
      </c>
      <c r="W35" t="s">
        <v>71</v>
      </c>
      <c r="X35">
        <v>3</v>
      </c>
      <c r="Y35">
        <v>1500</v>
      </c>
      <c r="Z35" s="91">
        <v>25000</v>
      </c>
    </row>
    <row r="36" spans="1:26">
      <c r="F36" s="157">
        <v>8</v>
      </c>
      <c r="G36" s="157">
        <v>45667</v>
      </c>
      <c r="H36" s="157" t="s">
        <v>214</v>
      </c>
      <c r="I36" s="157" t="s">
        <v>67</v>
      </c>
      <c r="J36" s="157">
        <v>1</v>
      </c>
      <c r="K36" s="157">
        <v>60000</v>
      </c>
      <c r="L36" s="157">
        <v>2250</v>
      </c>
      <c r="N36" s="170"/>
      <c r="O36" s="172" t="s">
        <v>68</v>
      </c>
      <c r="P36" s="172">
        <v>11000</v>
      </c>
      <c r="Q36" s="170"/>
      <c r="R36" s="160"/>
      <c r="T36">
        <v>5</v>
      </c>
      <c r="U36">
        <v>45676</v>
      </c>
      <c r="V36" t="s">
        <v>210</v>
      </c>
      <c r="W36" t="s">
        <v>58</v>
      </c>
      <c r="X36">
        <v>1</v>
      </c>
      <c r="Y36">
        <v>1200</v>
      </c>
      <c r="Z36" s="91">
        <v>36000</v>
      </c>
    </row>
    <row r="37" spans="1:26">
      <c r="F37" s="157">
        <v>9</v>
      </c>
      <c r="G37" s="157">
        <v>45664</v>
      </c>
      <c r="H37" s="157" t="s">
        <v>215</v>
      </c>
      <c r="I37" s="157" t="s">
        <v>208</v>
      </c>
      <c r="J37" s="157">
        <v>2</v>
      </c>
      <c r="K37" s="157">
        <v>22000</v>
      </c>
      <c r="L37" s="157">
        <v>1200</v>
      </c>
      <c r="N37" s="170"/>
      <c r="O37" s="172" t="s">
        <v>208</v>
      </c>
      <c r="P37" s="172">
        <v>4500</v>
      </c>
      <c r="Q37" s="170"/>
      <c r="R37" s="160"/>
      <c r="T37">
        <v>6</v>
      </c>
      <c r="U37">
        <v>45690</v>
      </c>
      <c r="V37" t="s">
        <v>211</v>
      </c>
      <c r="W37" t="s">
        <v>212</v>
      </c>
      <c r="X37">
        <v>2</v>
      </c>
      <c r="Y37">
        <v>18000</v>
      </c>
      <c r="Z37" s="91">
        <v>11000</v>
      </c>
    </row>
    <row r="38" spans="1:26">
      <c r="F38" s="157">
        <v>10</v>
      </c>
      <c r="G38" s="157">
        <v>45660</v>
      </c>
      <c r="H38" s="157" t="s">
        <v>216</v>
      </c>
      <c r="I38" s="157" t="s">
        <v>68</v>
      </c>
      <c r="J38" s="157">
        <v>5</v>
      </c>
      <c r="K38" s="157">
        <v>450</v>
      </c>
      <c r="L38" s="157">
        <v>1000</v>
      </c>
      <c r="N38" s="170"/>
      <c r="O38" s="172" t="s">
        <v>208</v>
      </c>
      <c r="P38" s="172">
        <v>2250</v>
      </c>
      <c r="Q38" s="170"/>
      <c r="R38" s="160"/>
      <c r="T38">
        <v>7</v>
      </c>
      <c r="U38">
        <v>45696</v>
      </c>
      <c r="V38" t="s">
        <v>213</v>
      </c>
      <c r="W38" t="s">
        <v>50</v>
      </c>
      <c r="X38">
        <v>1</v>
      </c>
      <c r="Y38">
        <v>11000</v>
      </c>
      <c r="Z38" s="173">
        <v>1000</v>
      </c>
    </row>
    <row r="39" spans="1:26">
      <c r="N39" s="170"/>
      <c r="O39" s="172" t="s">
        <v>50</v>
      </c>
      <c r="P39" s="172">
        <v>1200</v>
      </c>
      <c r="Q39" s="170"/>
      <c r="R39" s="160"/>
      <c r="T39">
        <v>8</v>
      </c>
      <c r="U39">
        <v>45700</v>
      </c>
      <c r="V39" t="s">
        <v>214</v>
      </c>
      <c r="W39" t="s">
        <v>67</v>
      </c>
      <c r="X39">
        <v>1</v>
      </c>
      <c r="Y39">
        <v>60000</v>
      </c>
      <c r="Z39" s="173">
        <v>1200</v>
      </c>
    </row>
    <row r="40" spans="1:26">
      <c r="A40" s="179" t="s">
        <v>246</v>
      </c>
      <c r="B40" s="15"/>
      <c r="C40" s="15"/>
      <c r="D40" s="15"/>
      <c r="L40" t="s">
        <v>60</v>
      </c>
      <c r="N40" s="170"/>
      <c r="O40" s="172" t="s">
        <v>212</v>
      </c>
      <c r="P40" s="172">
        <v>1000</v>
      </c>
      <c r="Q40" s="170"/>
      <c r="R40" s="160"/>
      <c r="T40">
        <v>9</v>
      </c>
      <c r="U40">
        <v>45707</v>
      </c>
      <c r="V40" t="s">
        <v>215</v>
      </c>
      <c r="W40" t="s">
        <v>208</v>
      </c>
      <c r="X40">
        <v>2</v>
      </c>
      <c r="Y40">
        <v>22000</v>
      </c>
      <c r="Z40" s="173">
        <v>2250</v>
      </c>
    </row>
    <row r="41" spans="1:26">
      <c r="R41" s="160"/>
      <c r="T41">
        <v>10</v>
      </c>
      <c r="U41">
        <v>45713</v>
      </c>
      <c r="V41" t="s">
        <v>216</v>
      </c>
      <c r="W41" t="s">
        <v>68</v>
      </c>
      <c r="X41">
        <v>5</v>
      </c>
      <c r="Y41">
        <v>450</v>
      </c>
      <c r="Z41" s="173">
        <v>4500</v>
      </c>
    </row>
    <row r="42" spans="1:26">
      <c r="A42" t="s">
        <v>220</v>
      </c>
      <c r="B42" t="s">
        <v>200</v>
      </c>
      <c r="C42" t="s">
        <v>201</v>
      </c>
      <c r="D42" t="s">
        <v>202</v>
      </c>
      <c r="E42" t="s">
        <v>168</v>
      </c>
      <c r="F42" t="s">
        <v>203</v>
      </c>
      <c r="G42" t="s">
        <v>204</v>
      </c>
      <c r="I42" s="180" t="s">
        <v>247</v>
      </c>
      <c r="J42" s="39"/>
      <c r="K42" s="39"/>
      <c r="L42" s="39"/>
    </row>
    <row r="43" spans="1:26">
      <c r="A43">
        <v>1</v>
      </c>
      <c r="B43">
        <v>45713</v>
      </c>
      <c r="C43" t="s">
        <v>205</v>
      </c>
      <c r="D43" t="s">
        <v>67</v>
      </c>
      <c r="E43">
        <v>1</v>
      </c>
      <c r="F43">
        <v>52000</v>
      </c>
      <c r="G43">
        <v>60000</v>
      </c>
      <c r="I43" s="39"/>
      <c r="J43" s="39"/>
      <c r="K43" s="39"/>
      <c r="L43" s="39"/>
    </row>
    <row r="44" spans="1:26">
      <c r="A44">
        <v>2</v>
      </c>
      <c r="B44">
        <v>45707</v>
      </c>
      <c r="C44" t="s">
        <v>206</v>
      </c>
      <c r="D44" t="s">
        <v>68</v>
      </c>
      <c r="E44">
        <v>2</v>
      </c>
      <c r="F44">
        <v>500</v>
      </c>
      <c r="G44">
        <v>52000</v>
      </c>
      <c r="I44" s="39" t="s">
        <v>248</v>
      </c>
      <c r="J44" s="39"/>
      <c r="K44" s="39"/>
      <c r="L44" s="39"/>
    </row>
    <row r="45" spans="1:26">
      <c r="A45">
        <v>3</v>
      </c>
      <c r="B45">
        <v>45700</v>
      </c>
      <c r="C45" t="s">
        <v>207</v>
      </c>
      <c r="D45" t="s">
        <v>208</v>
      </c>
      <c r="E45">
        <v>1</v>
      </c>
      <c r="F45">
        <v>25000</v>
      </c>
      <c r="G45">
        <v>44000</v>
      </c>
      <c r="I45" s="39" t="s">
        <v>249</v>
      </c>
      <c r="J45" s="39"/>
      <c r="K45" s="39"/>
      <c r="L45" s="39"/>
    </row>
    <row r="46" spans="1:26">
      <c r="A46">
        <v>4</v>
      </c>
      <c r="B46">
        <v>45696</v>
      </c>
      <c r="C46" t="s">
        <v>209</v>
      </c>
      <c r="D46" t="s">
        <v>71</v>
      </c>
      <c r="E46">
        <v>3</v>
      </c>
      <c r="F46">
        <v>1500</v>
      </c>
      <c r="G46">
        <v>36000</v>
      </c>
      <c r="I46" s="39" t="s">
        <v>250</v>
      </c>
      <c r="J46" s="39"/>
      <c r="K46" s="39"/>
      <c r="L46" s="39"/>
    </row>
    <row r="47" spans="1:26">
      <c r="A47">
        <v>5</v>
      </c>
      <c r="B47">
        <v>45690</v>
      </c>
      <c r="C47" t="s">
        <v>210</v>
      </c>
      <c r="D47" t="s">
        <v>58</v>
      </c>
      <c r="E47">
        <v>1</v>
      </c>
      <c r="F47">
        <v>1200</v>
      </c>
      <c r="G47">
        <v>25000</v>
      </c>
      <c r="I47" s="39" t="s">
        <v>251</v>
      </c>
      <c r="J47" s="39"/>
      <c r="K47" s="39"/>
      <c r="L47" s="39"/>
    </row>
    <row r="48" spans="1:26">
      <c r="A48">
        <v>6</v>
      </c>
      <c r="B48">
        <v>45676</v>
      </c>
      <c r="C48" t="s">
        <v>211</v>
      </c>
      <c r="D48" t="s">
        <v>212</v>
      </c>
      <c r="E48">
        <v>2</v>
      </c>
      <c r="F48">
        <v>18000</v>
      </c>
      <c r="G48">
        <v>11000</v>
      </c>
      <c r="I48" s="39" t="s">
        <v>252</v>
      </c>
      <c r="J48" s="39"/>
      <c r="K48" s="39"/>
      <c r="L48" s="39"/>
    </row>
    <row r="49" spans="1:23">
      <c r="A49">
        <v>7</v>
      </c>
      <c r="B49">
        <v>45672</v>
      </c>
      <c r="C49" t="s">
        <v>213</v>
      </c>
      <c r="D49" t="s">
        <v>50</v>
      </c>
      <c r="E49">
        <v>1</v>
      </c>
      <c r="F49">
        <v>11000</v>
      </c>
      <c r="G49">
        <v>4500</v>
      </c>
    </row>
    <row r="50" spans="1:23">
      <c r="A50">
        <v>8</v>
      </c>
      <c r="B50">
        <v>45667</v>
      </c>
      <c r="C50" t="s">
        <v>214</v>
      </c>
      <c r="D50" t="s">
        <v>67</v>
      </c>
      <c r="E50">
        <v>1</v>
      </c>
      <c r="F50">
        <v>60000</v>
      </c>
      <c r="G50">
        <v>2250</v>
      </c>
    </row>
    <row r="51" spans="1:23">
      <c r="A51">
        <v>9</v>
      </c>
      <c r="B51">
        <v>45664</v>
      </c>
      <c r="C51" t="s">
        <v>215</v>
      </c>
      <c r="D51" t="s">
        <v>208</v>
      </c>
      <c r="E51">
        <v>2</v>
      </c>
      <c r="F51">
        <v>22000</v>
      </c>
      <c r="G51">
        <v>1200</v>
      </c>
    </row>
    <row r="52" spans="1:23">
      <c r="A52">
        <v>10</v>
      </c>
      <c r="B52">
        <v>45660</v>
      </c>
      <c r="C52" t="s">
        <v>216</v>
      </c>
      <c r="D52" t="s">
        <v>68</v>
      </c>
      <c r="E52">
        <v>5</v>
      </c>
      <c r="F52">
        <v>450</v>
      </c>
      <c r="G52">
        <v>1000</v>
      </c>
    </row>
    <row r="54" spans="1:23">
      <c r="C54" s="185" t="s">
        <v>262</v>
      </c>
    </row>
    <row r="56" spans="1:23" ht="17.25" customHeight="1">
      <c r="A56" s="1" t="s">
        <v>256</v>
      </c>
      <c r="B56" s="1" t="s">
        <v>253</v>
      </c>
      <c r="C56" s="1" t="s">
        <v>202</v>
      </c>
      <c r="D56" s="1" t="s">
        <v>168</v>
      </c>
      <c r="E56" s="1" t="s">
        <v>203</v>
      </c>
      <c r="F56" s="1" t="s">
        <v>254</v>
      </c>
      <c r="G56" s="1" t="s">
        <v>255</v>
      </c>
      <c r="I56" s="183" t="s">
        <v>261</v>
      </c>
      <c r="J56" s="184"/>
      <c r="K56" s="184"/>
      <c r="L56" s="184"/>
      <c r="M56" s="184"/>
      <c r="N56" s="181"/>
      <c r="O56" s="181"/>
      <c r="P56" s="186" t="s">
        <v>263</v>
      </c>
      <c r="Q56" s="17"/>
      <c r="R56" s="17"/>
      <c r="S56" s="17"/>
    </row>
    <row r="57" spans="1:23" ht="15.75" customHeight="1">
      <c r="A57" s="2" t="s">
        <v>205</v>
      </c>
      <c r="B57" s="142">
        <v>45662</v>
      </c>
      <c r="C57" s="2" t="s">
        <v>67</v>
      </c>
      <c r="D57" s="2">
        <v>2</v>
      </c>
      <c r="E57" s="2">
        <v>52000</v>
      </c>
      <c r="F57" s="2">
        <v>104000</v>
      </c>
      <c r="G57" s="2" t="s">
        <v>257</v>
      </c>
      <c r="I57" s="181"/>
      <c r="J57" s="181"/>
      <c r="K57" s="181"/>
      <c r="L57" s="181"/>
      <c r="M57" s="181"/>
      <c r="N57" s="181"/>
      <c r="O57" s="181"/>
    </row>
    <row r="58" spans="1:23" ht="16.5" customHeight="1">
      <c r="A58" s="2" t="s">
        <v>206</v>
      </c>
      <c r="B58" s="142">
        <v>45665</v>
      </c>
      <c r="C58" s="2" t="s">
        <v>208</v>
      </c>
      <c r="D58" s="2">
        <v>3</v>
      </c>
      <c r="E58" s="2">
        <v>25000</v>
      </c>
      <c r="F58" s="2">
        <v>75000</v>
      </c>
      <c r="G58" s="2" t="s">
        <v>258</v>
      </c>
      <c r="I58" s="181" t="s">
        <v>256</v>
      </c>
      <c r="J58" s="182" t="s">
        <v>253</v>
      </c>
      <c r="K58" s="181" t="s">
        <v>202</v>
      </c>
      <c r="L58" s="181" t="s">
        <v>168</v>
      </c>
      <c r="M58" s="181" t="s">
        <v>203</v>
      </c>
      <c r="N58" s="181" t="s">
        <v>254</v>
      </c>
      <c r="O58" s="181" t="s">
        <v>255</v>
      </c>
      <c r="Q58" t="s">
        <v>256</v>
      </c>
      <c r="R58" s="141" t="s">
        <v>253</v>
      </c>
      <c r="S58" t="s">
        <v>202</v>
      </c>
      <c r="T58" t="s">
        <v>168</v>
      </c>
      <c r="U58" t="s">
        <v>203</v>
      </c>
      <c r="V58" t="s">
        <v>254</v>
      </c>
      <c r="W58" t="s">
        <v>255</v>
      </c>
    </row>
    <row r="59" spans="1:23" ht="18.75" customHeight="1">
      <c r="A59" s="2" t="s">
        <v>213</v>
      </c>
      <c r="B59" s="142">
        <v>45667</v>
      </c>
      <c r="C59" s="2" t="s">
        <v>68</v>
      </c>
      <c r="D59" s="2">
        <v>5</v>
      </c>
      <c r="E59" s="2">
        <v>450</v>
      </c>
      <c r="F59" s="2">
        <v>2250</v>
      </c>
      <c r="G59" s="2" t="s">
        <v>259</v>
      </c>
      <c r="I59" s="181" t="s">
        <v>205</v>
      </c>
      <c r="J59" s="182">
        <v>45662</v>
      </c>
      <c r="K59" s="181" t="s">
        <v>67</v>
      </c>
      <c r="L59" s="181">
        <v>2</v>
      </c>
      <c r="M59" s="181">
        <v>52000</v>
      </c>
      <c r="N59" s="181">
        <v>104000</v>
      </c>
      <c r="O59" s="181" t="s">
        <v>257</v>
      </c>
      <c r="Q59" t="s">
        <v>205</v>
      </c>
      <c r="R59" s="141">
        <v>45662</v>
      </c>
      <c r="S59" t="s">
        <v>67</v>
      </c>
      <c r="T59">
        <v>2</v>
      </c>
      <c r="U59">
        <v>52000</v>
      </c>
      <c r="V59">
        <v>104000</v>
      </c>
      <c r="W59" t="s">
        <v>257</v>
      </c>
    </row>
    <row r="60" spans="1:23" ht="17.25" customHeight="1">
      <c r="A60" s="2" t="s">
        <v>211</v>
      </c>
      <c r="B60" s="142">
        <v>45672</v>
      </c>
      <c r="C60" s="2" t="s">
        <v>212</v>
      </c>
      <c r="D60" s="2">
        <v>1</v>
      </c>
      <c r="E60" s="2">
        <v>18000</v>
      </c>
      <c r="F60" s="2">
        <v>18000</v>
      </c>
      <c r="G60" s="2" t="s">
        <v>260</v>
      </c>
      <c r="I60" s="181" t="s">
        <v>206</v>
      </c>
      <c r="J60" s="182">
        <v>45665</v>
      </c>
      <c r="K60" s="181" t="s">
        <v>208</v>
      </c>
      <c r="L60" s="181">
        <v>3</v>
      </c>
      <c r="M60" s="181">
        <v>25000</v>
      </c>
      <c r="N60" s="181">
        <v>75000</v>
      </c>
      <c r="O60" s="181" t="s">
        <v>258</v>
      </c>
      <c r="Q60" t="s">
        <v>206</v>
      </c>
      <c r="R60" s="141">
        <v>45665</v>
      </c>
      <c r="S60" t="s">
        <v>208</v>
      </c>
      <c r="T60">
        <v>3</v>
      </c>
      <c r="U60">
        <v>25000</v>
      </c>
      <c r="V60">
        <v>75000</v>
      </c>
      <c r="W60" t="s">
        <v>258</v>
      </c>
    </row>
    <row r="61" spans="1:23" ht="18.75" customHeight="1">
      <c r="A61" s="2" t="s">
        <v>214</v>
      </c>
      <c r="B61" s="142">
        <v>45676</v>
      </c>
      <c r="C61" s="2" t="s">
        <v>71</v>
      </c>
      <c r="D61" s="2">
        <v>4</v>
      </c>
      <c r="E61" s="2">
        <v>1500</v>
      </c>
      <c r="F61" s="2">
        <v>6000</v>
      </c>
      <c r="G61" s="2" t="s">
        <v>257</v>
      </c>
      <c r="I61" s="181" t="s">
        <v>209</v>
      </c>
      <c r="J61" s="182">
        <v>45710</v>
      </c>
      <c r="K61" s="181" t="s">
        <v>67</v>
      </c>
      <c r="L61" s="181">
        <v>1</v>
      </c>
      <c r="M61" s="181">
        <v>60000</v>
      </c>
      <c r="N61" s="181">
        <v>60000</v>
      </c>
      <c r="O61" s="181" t="s">
        <v>257</v>
      </c>
      <c r="Q61" t="s">
        <v>209</v>
      </c>
      <c r="R61" s="141">
        <v>45710</v>
      </c>
      <c r="S61" t="s">
        <v>67</v>
      </c>
      <c r="T61">
        <v>1</v>
      </c>
      <c r="U61">
        <v>60000</v>
      </c>
      <c r="V61">
        <v>60000</v>
      </c>
      <c r="W61" t="s">
        <v>257</v>
      </c>
    </row>
    <row r="62" spans="1:23" ht="14.25" customHeight="1">
      <c r="A62" s="2" t="s">
        <v>215</v>
      </c>
      <c r="B62" s="142">
        <v>45689</v>
      </c>
      <c r="C62" s="2" t="s">
        <v>50</v>
      </c>
      <c r="D62" s="2">
        <v>2</v>
      </c>
      <c r="E62" s="2">
        <v>11000</v>
      </c>
      <c r="F62" s="2">
        <v>22000</v>
      </c>
      <c r="G62" s="2" t="s">
        <v>258</v>
      </c>
      <c r="I62" s="181" t="s">
        <v>210</v>
      </c>
      <c r="J62" s="182">
        <v>45706</v>
      </c>
      <c r="K62" s="181" t="s">
        <v>225</v>
      </c>
      <c r="L62" s="181">
        <v>2</v>
      </c>
      <c r="M62" s="181">
        <v>15000</v>
      </c>
      <c r="N62" s="181">
        <v>30000</v>
      </c>
      <c r="O62" s="181" t="s">
        <v>258</v>
      </c>
      <c r="P62" t="s">
        <v>60</v>
      </c>
      <c r="Q62" t="s">
        <v>210</v>
      </c>
      <c r="R62" s="141">
        <v>45706</v>
      </c>
      <c r="S62" t="s">
        <v>225</v>
      </c>
      <c r="T62">
        <v>2</v>
      </c>
      <c r="U62">
        <v>15000</v>
      </c>
      <c r="V62">
        <v>30000</v>
      </c>
      <c r="W62" t="s">
        <v>258</v>
      </c>
    </row>
    <row r="63" spans="1:23" ht="18" customHeight="1">
      <c r="A63" s="2" t="s">
        <v>207</v>
      </c>
      <c r="B63" s="142">
        <v>45693</v>
      </c>
      <c r="C63" s="2" t="s">
        <v>58</v>
      </c>
      <c r="D63" s="2">
        <v>3</v>
      </c>
      <c r="E63" s="2">
        <v>1200</v>
      </c>
      <c r="F63" s="2">
        <v>3600</v>
      </c>
      <c r="G63" s="2" t="s">
        <v>259</v>
      </c>
      <c r="H63" t="s">
        <v>60</v>
      </c>
      <c r="I63" s="181" t="s">
        <v>215</v>
      </c>
      <c r="J63" s="182">
        <v>45689</v>
      </c>
      <c r="K63" s="181" t="s">
        <v>50</v>
      </c>
      <c r="L63" s="181">
        <v>2</v>
      </c>
      <c r="M63" s="181">
        <v>11000</v>
      </c>
      <c r="N63" s="181">
        <v>22000</v>
      </c>
      <c r="O63" s="181" t="s">
        <v>258</v>
      </c>
      <c r="Q63" t="s">
        <v>215</v>
      </c>
      <c r="R63" s="141">
        <v>45689</v>
      </c>
      <c r="S63" t="s">
        <v>50</v>
      </c>
      <c r="T63">
        <v>2</v>
      </c>
      <c r="U63">
        <v>11000</v>
      </c>
      <c r="V63">
        <v>22000</v>
      </c>
      <c r="W63" t="s">
        <v>258</v>
      </c>
    </row>
    <row r="64" spans="1:23" ht="18" customHeight="1">
      <c r="A64" s="2" t="s">
        <v>216</v>
      </c>
      <c r="B64" s="142">
        <v>45699</v>
      </c>
      <c r="C64" s="2" t="s">
        <v>69</v>
      </c>
      <c r="D64" s="2">
        <v>1</v>
      </c>
      <c r="E64" s="2">
        <v>20000</v>
      </c>
      <c r="F64" s="2">
        <v>20000</v>
      </c>
      <c r="G64" s="2" t="s">
        <v>260</v>
      </c>
      <c r="I64" s="181" t="s">
        <v>216</v>
      </c>
      <c r="J64" s="182">
        <v>45699</v>
      </c>
      <c r="K64" s="181" t="s">
        <v>69</v>
      </c>
      <c r="L64" s="181">
        <v>1</v>
      </c>
      <c r="M64" s="181">
        <v>20000</v>
      </c>
      <c r="N64" s="181">
        <v>20000</v>
      </c>
      <c r="O64" s="181" t="s">
        <v>260</v>
      </c>
      <c r="Q64" t="s">
        <v>216</v>
      </c>
      <c r="R64" s="141">
        <v>45699</v>
      </c>
      <c r="S64" t="s">
        <v>69</v>
      </c>
      <c r="T64">
        <v>1</v>
      </c>
      <c r="U64">
        <v>20000</v>
      </c>
      <c r="V64">
        <v>20000</v>
      </c>
      <c r="W64" t="s">
        <v>260</v>
      </c>
    </row>
    <row r="65" spans="1:23" ht="16.5" customHeight="1">
      <c r="A65" s="2" t="s">
        <v>210</v>
      </c>
      <c r="B65" s="142">
        <v>45706</v>
      </c>
      <c r="C65" s="2" t="s">
        <v>225</v>
      </c>
      <c r="D65" s="2">
        <v>2</v>
      </c>
      <c r="E65" s="2">
        <v>15000</v>
      </c>
      <c r="F65" s="2">
        <v>30000</v>
      </c>
      <c r="G65" s="2" t="s">
        <v>258</v>
      </c>
      <c r="I65" s="181" t="s">
        <v>211</v>
      </c>
      <c r="J65" s="182">
        <v>45672</v>
      </c>
      <c r="K65" s="181" t="s">
        <v>212</v>
      </c>
      <c r="L65" s="181">
        <v>1</v>
      </c>
      <c r="M65" s="181">
        <v>18000</v>
      </c>
      <c r="N65" s="181">
        <v>18000</v>
      </c>
      <c r="O65" s="181" t="s">
        <v>260</v>
      </c>
      <c r="Q65" t="s">
        <v>211</v>
      </c>
      <c r="R65" s="141">
        <v>45672</v>
      </c>
      <c r="S65" t="s">
        <v>212</v>
      </c>
      <c r="T65">
        <v>1</v>
      </c>
      <c r="U65">
        <v>18000</v>
      </c>
      <c r="V65">
        <v>18000</v>
      </c>
      <c r="W65" t="s">
        <v>260</v>
      </c>
    </row>
    <row r="66" spans="1:23" ht="18.75" customHeight="1">
      <c r="A66" s="2" t="s">
        <v>209</v>
      </c>
      <c r="B66" s="142">
        <v>45710</v>
      </c>
      <c r="C66" s="2" t="s">
        <v>67</v>
      </c>
      <c r="D66" s="2">
        <v>1</v>
      </c>
      <c r="E66" s="2">
        <v>60000</v>
      </c>
      <c r="F66" s="2">
        <v>60000</v>
      </c>
      <c r="G66" s="2" t="s">
        <v>257</v>
      </c>
      <c r="I66" s="181" t="s">
        <v>214</v>
      </c>
      <c r="J66" s="182">
        <v>45676</v>
      </c>
      <c r="K66" s="181" t="s">
        <v>71</v>
      </c>
      <c r="L66" s="181">
        <v>4</v>
      </c>
      <c r="M66" s="181">
        <v>1500</v>
      </c>
      <c r="N66" s="181">
        <v>6000</v>
      </c>
      <c r="O66" s="181" t="s">
        <v>257</v>
      </c>
      <c r="Q66" t="s">
        <v>214</v>
      </c>
      <c r="R66" s="141">
        <v>45676</v>
      </c>
      <c r="S66" t="s">
        <v>71</v>
      </c>
      <c r="T66">
        <v>4</v>
      </c>
      <c r="U66">
        <v>1500</v>
      </c>
      <c r="V66">
        <v>6000</v>
      </c>
      <c r="W66" t="s">
        <v>257</v>
      </c>
    </row>
    <row r="67" spans="1:23">
      <c r="I67" s="181" t="s">
        <v>207</v>
      </c>
      <c r="J67" s="182">
        <v>45693</v>
      </c>
      <c r="K67" s="181" t="s">
        <v>58</v>
      </c>
      <c r="L67" s="181">
        <v>3</v>
      </c>
      <c r="M67" s="181">
        <v>1200</v>
      </c>
      <c r="N67" s="181">
        <v>3600</v>
      </c>
      <c r="O67" s="181" t="s">
        <v>259</v>
      </c>
      <c r="Q67" t="s">
        <v>207</v>
      </c>
      <c r="R67" s="141">
        <v>45693</v>
      </c>
      <c r="S67" t="s">
        <v>58</v>
      </c>
      <c r="T67">
        <v>3</v>
      </c>
      <c r="U67">
        <v>1200</v>
      </c>
      <c r="V67">
        <v>3600</v>
      </c>
      <c r="W67" t="s">
        <v>259</v>
      </c>
    </row>
    <row r="68" spans="1:23">
      <c r="I68" s="181" t="s">
        <v>213</v>
      </c>
      <c r="J68" s="182">
        <v>45667</v>
      </c>
      <c r="K68" s="181" t="s">
        <v>68</v>
      </c>
      <c r="L68" s="181">
        <v>5</v>
      </c>
      <c r="M68" s="181">
        <v>450</v>
      </c>
      <c r="N68" s="181">
        <v>2250</v>
      </c>
      <c r="O68" s="181" t="s">
        <v>259</v>
      </c>
      <c r="Q68" t="s">
        <v>213</v>
      </c>
      <c r="R68" s="141">
        <v>45667</v>
      </c>
      <c r="S68" t="s">
        <v>68</v>
      </c>
      <c r="T68">
        <v>5</v>
      </c>
      <c r="U68">
        <v>450</v>
      </c>
      <c r="V68">
        <v>2250</v>
      </c>
      <c r="W68" t="s">
        <v>259</v>
      </c>
    </row>
    <row r="70" spans="1:23">
      <c r="A70" s="180" t="s">
        <v>264</v>
      </c>
      <c r="B70" s="39"/>
      <c r="C70" s="39"/>
      <c r="D70" s="39"/>
      <c r="E70" s="39"/>
      <c r="J70" s="187" t="s">
        <v>265</v>
      </c>
      <c r="K70" s="91"/>
      <c r="L70" s="91"/>
      <c r="M70" s="91"/>
      <c r="N70" s="91"/>
    </row>
    <row r="71" spans="1:23">
      <c r="A71" t="s">
        <v>256</v>
      </c>
      <c r="B71" s="141" t="s">
        <v>253</v>
      </c>
      <c r="C71" t="s">
        <v>202</v>
      </c>
      <c r="D71" t="s">
        <v>168</v>
      </c>
      <c r="E71" t="s">
        <v>203</v>
      </c>
      <c r="F71" t="s">
        <v>254</v>
      </c>
      <c r="G71" t="s">
        <v>255</v>
      </c>
      <c r="J71" s="91"/>
      <c r="K71" s="91"/>
      <c r="L71" s="91"/>
      <c r="M71" s="91"/>
      <c r="N71" s="91"/>
    </row>
    <row r="72" spans="1:23">
      <c r="A72" t="s">
        <v>205</v>
      </c>
      <c r="B72" s="141">
        <v>45662</v>
      </c>
      <c r="C72" t="s">
        <v>67</v>
      </c>
      <c r="D72">
        <v>2</v>
      </c>
      <c r="E72">
        <v>52000</v>
      </c>
      <c r="F72">
        <v>104000</v>
      </c>
      <c r="G72" t="s">
        <v>257</v>
      </c>
      <c r="J72" s="91" t="s">
        <v>266</v>
      </c>
      <c r="K72" s="91"/>
      <c r="L72" s="91"/>
      <c r="M72" s="91"/>
      <c r="N72" s="91"/>
    </row>
    <row r="73" spans="1:23">
      <c r="A73" t="s">
        <v>214</v>
      </c>
      <c r="B73" s="141">
        <v>45676</v>
      </c>
      <c r="C73" t="s">
        <v>71</v>
      </c>
      <c r="D73">
        <v>4</v>
      </c>
      <c r="E73">
        <v>1500</v>
      </c>
      <c r="F73">
        <v>6000</v>
      </c>
      <c r="G73" t="s">
        <v>257</v>
      </c>
      <c r="J73" s="188" t="s">
        <v>267</v>
      </c>
      <c r="K73" s="91"/>
      <c r="L73" s="91"/>
      <c r="M73" s="91"/>
      <c r="N73" s="91"/>
    </row>
    <row r="74" spans="1:23">
      <c r="A74" t="s">
        <v>209</v>
      </c>
      <c r="B74" s="141">
        <v>45710</v>
      </c>
      <c r="C74" t="s">
        <v>67</v>
      </c>
      <c r="D74">
        <v>1</v>
      </c>
      <c r="E74">
        <v>60000</v>
      </c>
      <c r="F74">
        <v>60000</v>
      </c>
      <c r="G74" t="s">
        <v>257</v>
      </c>
      <c r="J74" s="91" t="s">
        <v>268</v>
      </c>
      <c r="K74" s="91"/>
      <c r="L74" s="91"/>
      <c r="M74" s="91"/>
      <c r="N74" s="91"/>
    </row>
    <row r="75" spans="1:23">
      <c r="A75" t="s">
        <v>211</v>
      </c>
      <c r="B75" s="141">
        <v>45672</v>
      </c>
      <c r="C75" t="s">
        <v>212</v>
      </c>
      <c r="D75">
        <v>1</v>
      </c>
      <c r="E75">
        <v>18000</v>
      </c>
      <c r="F75">
        <v>18000</v>
      </c>
      <c r="G75" t="s">
        <v>260</v>
      </c>
      <c r="J75" s="91" t="s">
        <v>269</v>
      </c>
      <c r="K75" s="91"/>
      <c r="L75" s="91"/>
      <c r="M75" s="91"/>
      <c r="N75" s="91"/>
    </row>
    <row r="76" spans="1:23">
      <c r="A76" t="s">
        <v>210</v>
      </c>
      <c r="B76" s="141">
        <v>45706</v>
      </c>
      <c r="C76" t="s">
        <v>225</v>
      </c>
      <c r="D76">
        <v>2</v>
      </c>
      <c r="E76">
        <v>15000</v>
      </c>
      <c r="F76">
        <v>30000</v>
      </c>
      <c r="G76" t="s">
        <v>258</v>
      </c>
      <c r="J76" s="91" t="s">
        <v>270</v>
      </c>
      <c r="K76" s="91"/>
      <c r="L76" s="91"/>
      <c r="M76" s="91"/>
      <c r="N76" s="91"/>
    </row>
    <row r="77" spans="1:23">
      <c r="A77" t="s">
        <v>213</v>
      </c>
      <c r="B77" s="141">
        <v>45667</v>
      </c>
      <c r="C77" t="s">
        <v>68</v>
      </c>
      <c r="D77">
        <v>5</v>
      </c>
      <c r="E77">
        <v>450</v>
      </c>
      <c r="F77">
        <v>2250</v>
      </c>
      <c r="G77" t="s">
        <v>259</v>
      </c>
    </row>
    <row r="78" spans="1:23">
      <c r="A78" t="s">
        <v>216</v>
      </c>
      <c r="B78" s="141">
        <v>45699</v>
      </c>
      <c r="C78" t="s">
        <v>69</v>
      </c>
      <c r="D78">
        <v>1</v>
      </c>
      <c r="E78">
        <v>20000</v>
      </c>
      <c r="F78">
        <v>20000</v>
      </c>
      <c r="G78" t="s">
        <v>260</v>
      </c>
    </row>
    <row r="79" spans="1:23">
      <c r="A79" t="s">
        <v>206</v>
      </c>
      <c r="B79" s="141">
        <v>45665</v>
      </c>
      <c r="C79" t="s">
        <v>208</v>
      </c>
      <c r="D79">
        <v>3</v>
      </c>
      <c r="E79">
        <v>25000</v>
      </c>
      <c r="F79">
        <v>75000</v>
      </c>
      <c r="G79" t="s">
        <v>258</v>
      </c>
    </row>
    <row r="80" spans="1:23">
      <c r="A80" t="s">
        <v>207</v>
      </c>
      <c r="B80" s="141">
        <v>45693</v>
      </c>
      <c r="C80" t="s">
        <v>58</v>
      </c>
      <c r="D80">
        <v>3</v>
      </c>
      <c r="E80">
        <v>1200</v>
      </c>
      <c r="F80">
        <v>3600</v>
      </c>
      <c r="G80" t="s">
        <v>259</v>
      </c>
    </row>
    <row r="81" spans="1:7">
      <c r="A81" t="s">
        <v>215</v>
      </c>
      <c r="B81" s="141">
        <v>45689</v>
      </c>
      <c r="C81" t="s">
        <v>50</v>
      </c>
      <c r="D81">
        <v>2</v>
      </c>
      <c r="E81">
        <v>11000</v>
      </c>
      <c r="F81">
        <v>22000</v>
      </c>
      <c r="G81" t="s">
        <v>258</v>
      </c>
    </row>
  </sheetData>
  <sortState xmlns:xlrd2="http://schemas.microsoft.com/office/spreadsheetml/2017/richdata2" ref="A72:G81">
    <sortCondition ref="A72:A81"/>
    <sortCondition ref="G72:G81"/>
    <sortCondition ref="B72:B81"/>
  </sortState>
  <mergeCells count="1">
    <mergeCell ref="R1:S1"/>
  </mergeCells>
  <conditionalFormatting sqref="G42:G52">
    <cfRule type="cellIs" dxfId="9" priority="1" operator="lessThan">
      <formula>4500</formula>
    </cfRule>
    <cfRule type="cellIs" dxfId="8" priority="2" operator="lessThan">
      <formula>30500</formula>
    </cfRule>
    <cfRule type="cellIs" dxfId="7" priority="3" operator="greaterThan">
      <formula>30500</formula>
    </cfRule>
    <cfRule type="cellIs" dxfId="6" priority="4" operator="lessThan">
      <formula>30500</formula>
    </cfRule>
    <cfRule type="cellIs" dxfId="5" priority="5" operator="between">
      <formula>15750</formula>
      <formula>45250</formula>
    </cfRule>
    <cfRule type="cellIs" dxfId="4" priority="6" operator="greaterThan">
      <formula>30500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B4005-5BD9-4644-B79C-53BDA1B4E44C}">
  <sheetPr codeName="Sheet10"/>
  <dimension ref="A1:T34"/>
  <sheetViews>
    <sheetView topLeftCell="A17" workbookViewId="0">
      <selection activeCell="E27" sqref="E27"/>
    </sheetView>
  </sheetViews>
  <sheetFormatPr defaultRowHeight="15"/>
  <cols>
    <col min="1" max="1" width="10.42578125" bestFit="1" customWidth="1"/>
    <col min="2" max="2" width="13.42578125" bestFit="1" customWidth="1"/>
    <col min="3" max="3" width="20.140625" customWidth="1"/>
    <col min="4" max="4" width="16" customWidth="1"/>
    <col min="5" max="5" width="10.5703125" bestFit="1" customWidth="1"/>
    <col min="6" max="6" width="9.7109375" customWidth="1"/>
    <col min="8" max="8" width="10.42578125" bestFit="1" customWidth="1"/>
    <col min="9" max="9" width="9.42578125" bestFit="1" customWidth="1"/>
    <col min="10" max="10" width="14.7109375" customWidth="1"/>
    <col min="11" max="11" width="23.7109375" customWidth="1"/>
    <col min="12" max="12" width="19.5703125" customWidth="1"/>
    <col min="13" max="13" width="9.140625" customWidth="1"/>
    <col min="20" max="20" width="10" customWidth="1"/>
  </cols>
  <sheetData>
    <row r="1" spans="1:13" ht="30">
      <c r="A1" s="1" t="s">
        <v>271</v>
      </c>
      <c r="B1" s="1" t="s">
        <v>272</v>
      </c>
      <c r="C1" s="1" t="s">
        <v>273</v>
      </c>
      <c r="D1" s="1" t="s">
        <v>274</v>
      </c>
      <c r="E1" s="190" t="s">
        <v>275</v>
      </c>
    </row>
    <row r="2" spans="1:13">
      <c r="A2" s="2">
        <v>1</v>
      </c>
      <c r="B2" s="2" t="s">
        <v>276</v>
      </c>
      <c r="C2" s="189">
        <v>45839.875</v>
      </c>
      <c r="D2" s="189">
        <v>45840.0625</v>
      </c>
      <c r="E2" s="191">
        <f>(D2-C2)*24</f>
        <v>4.5</v>
      </c>
      <c r="G2" s="193" t="s">
        <v>281</v>
      </c>
      <c r="H2" s="192"/>
      <c r="I2" s="192"/>
      <c r="J2" s="192"/>
      <c r="K2" s="192"/>
      <c r="L2" s="192"/>
    </row>
    <row r="3" spans="1:13" ht="30">
      <c r="A3" s="2">
        <v>2</v>
      </c>
      <c r="B3" s="2" t="s">
        <v>277</v>
      </c>
      <c r="C3" s="189">
        <v>45841.59375</v>
      </c>
      <c r="D3" s="189">
        <v>45841.697916666664</v>
      </c>
      <c r="E3" s="191">
        <f t="shared" ref="E3:E6" si="0">(D3-C3)*24</f>
        <v>2.4999999999417923</v>
      </c>
    </row>
    <row r="4" spans="1:13" ht="27" customHeight="1">
      <c r="A4" s="2">
        <v>3</v>
      </c>
      <c r="B4" s="2" t="s">
        <v>278</v>
      </c>
      <c r="C4" s="189">
        <v>45842.375</v>
      </c>
      <c r="D4" s="189">
        <v>45842.729166666664</v>
      </c>
      <c r="E4" s="191">
        <f t="shared" si="0"/>
        <v>8.4999999999417923</v>
      </c>
    </row>
    <row r="5" spans="1:13">
      <c r="A5" s="2">
        <v>4</v>
      </c>
      <c r="B5" s="2" t="s">
        <v>279</v>
      </c>
      <c r="C5" s="189">
        <v>45843.833333333336</v>
      </c>
      <c r="D5" s="189">
        <v>45844.010416666664</v>
      </c>
      <c r="E5" s="191">
        <f t="shared" si="0"/>
        <v>4.2499999998835847</v>
      </c>
    </row>
    <row r="6" spans="1:13">
      <c r="A6" s="2">
        <v>5</v>
      </c>
      <c r="B6" s="2" t="s">
        <v>280</v>
      </c>
      <c r="C6" s="189">
        <v>45844.416666666664</v>
      </c>
      <c r="D6" s="189">
        <v>45844.479166666664</v>
      </c>
      <c r="E6" s="191">
        <f t="shared" si="0"/>
        <v>1.5</v>
      </c>
    </row>
    <row r="8" spans="1:13">
      <c r="A8" s="194" t="s">
        <v>282</v>
      </c>
      <c r="B8" s="195"/>
      <c r="C8" s="195"/>
      <c r="D8" s="195"/>
      <c r="E8" s="195"/>
      <c r="F8" s="195"/>
      <c r="I8" s="201" t="s">
        <v>291</v>
      </c>
      <c r="J8" s="175"/>
      <c r="K8" s="175"/>
      <c r="L8" s="175"/>
    </row>
    <row r="10" spans="1:13" ht="30">
      <c r="A10" s="1" t="s">
        <v>283</v>
      </c>
      <c r="B10" s="1" t="s">
        <v>284</v>
      </c>
      <c r="C10" s="1" t="s">
        <v>285</v>
      </c>
      <c r="D10" s="196" t="s">
        <v>286</v>
      </c>
      <c r="E10" s="196" t="s">
        <v>37</v>
      </c>
      <c r="F10" s="196" t="s">
        <v>287</v>
      </c>
      <c r="I10" s="190" t="s">
        <v>271</v>
      </c>
      <c r="J10" s="190" t="s">
        <v>272</v>
      </c>
      <c r="K10" s="198" t="s">
        <v>273</v>
      </c>
      <c r="L10" s="198" t="s">
        <v>274</v>
      </c>
      <c r="M10" s="190" t="s">
        <v>275</v>
      </c>
    </row>
    <row r="11" spans="1:13">
      <c r="A11" s="2" t="s">
        <v>288</v>
      </c>
      <c r="B11" s="142">
        <v>36692</v>
      </c>
      <c r="C11" s="142">
        <v>45856</v>
      </c>
      <c r="D11" s="19">
        <f>DATEDIF(B11,C11,"y")</f>
        <v>25</v>
      </c>
      <c r="E11" s="197">
        <f>DATEDIF(B11,C11,"ym")</f>
        <v>1</v>
      </c>
      <c r="F11" s="197">
        <f>DATEDIF(B11,C11,"md")</f>
        <v>3</v>
      </c>
      <c r="I11" s="199">
        <v>1</v>
      </c>
      <c r="J11" s="199" t="s">
        <v>276</v>
      </c>
      <c r="K11" s="200">
        <v>45839.875</v>
      </c>
      <c r="L11" s="200">
        <v>45840.0625</v>
      </c>
      <c r="M11" s="191">
        <f>(L11-K11)*24</f>
        <v>4.5</v>
      </c>
    </row>
    <row r="12" spans="1:13" ht="30">
      <c r="A12" s="2" t="s">
        <v>289</v>
      </c>
      <c r="B12" s="142">
        <v>40918</v>
      </c>
      <c r="C12" s="142">
        <v>45856</v>
      </c>
      <c r="D12" s="19">
        <f t="shared" ref="D12:D13" si="1">DATEDIF(B12,C12,"y")</f>
        <v>13</v>
      </c>
      <c r="E12" s="197">
        <f t="shared" ref="E12:E13" si="2">DATEDIF(B12,C12,"ym")</f>
        <v>6</v>
      </c>
      <c r="F12" s="197">
        <f t="shared" ref="F12:F13" si="3">DATEDIF(B12,C12,"md")</f>
        <v>8</v>
      </c>
      <c r="I12" s="199">
        <v>2</v>
      </c>
      <c r="J12" s="199" t="s">
        <v>277</v>
      </c>
      <c r="K12" s="200">
        <v>45841.59375</v>
      </c>
      <c r="L12" s="200">
        <v>45841.697916666664</v>
      </c>
      <c r="M12" s="191">
        <f t="shared" ref="M12:M15" si="4">(L12-K12)*24</f>
        <v>2.4999999999417923</v>
      </c>
    </row>
    <row r="13" spans="1:13">
      <c r="A13" s="2" t="s">
        <v>290</v>
      </c>
      <c r="B13" s="142">
        <v>43221</v>
      </c>
      <c r="C13" s="142">
        <v>45856</v>
      </c>
      <c r="D13" s="19">
        <f t="shared" si="1"/>
        <v>7</v>
      </c>
      <c r="E13" s="197">
        <f t="shared" si="2"/>
        <v>2</v>
      </c>
      <c r="F13" s="197">
        <f t="shared" si="3"/>
        <v>17</v>
      </c>
      <c r="I13" s="199">
        <v>3</v>
      </c>
      <c r="J13" s="199" t="s">
        <v>278</v>
      </c>
      <c r="K13" s="200">
        <v>45842.375</v>
      </c>
      <c r="L13" s="200">
        <v>45842.729166666664</v>
      </c>
      <c r="M13" s="191">
        <f t="shared" si="4"/>
        <v>8.4999999999417923</v>
      </c>
    </row>
    <row r="14" spans="1:13">
      <c r="I14" s="199">
        <v>4</v>
      </c>
      <c r="J14" s="199" t="s">
        <v>279</v>
      </c>
      <c r="K14" s="200">
        <v>45843.833333333336</v>
      </c>
      <c r="L14" s="200">
        <v>45844.010416666664</v>
      </c>
      <c r="M14" s="191">
        <f t="shared" si="4"/>
        <v>4.2499999998835847</v>
      </c>
    </row>
    <row r="15" spans="1:13">
      <c r="B15" s="19" t="str">
        <f>DATEDIF(B11,C11,"y") &amp; " years, " &amp; DATEDIF(B11,C11,"ym") &amp; " months, " &amp; DATEDIF(B11,C11,"md") &amp; " days"</f>
        <v>25 years, 1 months, 3 days</v>
      </c>
      <c r="C15" s="19"/>
      <c r="I15" s="199">
        <v>5</v>
      </c>
      <c r="J15" s="199" t="s">
        <v>280</v>
      </c>
      <c r="K15" s="200">
        <v>45844.416666666664</v>
      </c>
      <c r="L15" s="200">
        <v>45844.479166666664</v>
      </c>
      <c r="M15" s="191">
        <f t="shared" si="4"/>
        <v>1.5</v>
      </c>
    </row>
    <row r="17" spans="1:20">
      <c r="A17" s="202" t="s">
        <v>292</v>
      </c>
      <c r="B17" s="111"/>
      <c r="C17" s="111"/>
      <c r="D17" s="111"/>
      <c r="E17" s="111"/>
      <c r="F17" s="111"/>
    </row>
    <row r="18" spans="1:20">
      <c r="A18" s="111"/>
      <c r="B18" s="111"/>
      <c r="C18" s="111"/>
      <c r="D18" s="111"/>
      <c r="E18" s="111"/>
      <c r="F18" s="111"/>
      <c r="I18" s="203" t="s">
        <v>297</v>
      </c>
      <c r="J18" s="115"/>
      <c r="K18" s="115"/>
      <c r="M18" s="207" t="s">
        <v>302</v>
      </c>
      <c r="N18" s="114"/>
      <c r="O18" s="114"/>
      <c r="P18" s="114"/>
      <c r="Q18" s="114"/>
      <c r="R18" s="114"/>
      <c r="S18" s="114"/>
      <c r="T18" s="114"/>
    </row>
    <row r="19" spans="1:20">
      <c r="A19" s="111" t="s">
        <v>293</v>
      </c>
      <c r="B19" s="111"/>
      <c r="C19" s="111"/>
      <c r="D19" s="111"/>
      <c r="E19" s="111"/>
      <c r="F19" s="111"/>
      <c r="I19" s="115"/>
      <c r="J19" s="115"/>
      <c r="K19" s="115"/>
      <c r="M19" s="114"/>
      <c r="N19" s="114"/>
      <c r="O19" s="114"/>
      <c r="P19" s="114"/>
      <c r="Q19" s="114"/>
      <c r="R19" s="114"/>
      <c r="S19" s="114"/>
      <c r="T19" s="114"/>
    </row>
    <row r="20" spans="1:20">
      <c r="A20" s="111">
        <f>C11-B11</f>
        <v>9164</v>
      </c>
      <c r="B20" s="111" t="s">
        <v>294</v>
      </c>
      <c r="C20" s="111"/>
      <c r="D20" s="111"/>
      <c r="E20" s="111"/>
      <c r="F20" s="111"/>
      <c r="I20" s="204">
        <f ca="1">TODAY()</f>
        <v>45863</v>
      </c>
      <c r="J20" s="115"/>
      <c r="K20" s="115"/>
      <c r="M20" s="208">
        <v>45789</v>
      </c>
      <c r="N20" s="114">
        <f>YEAR(M20)</f>
        <v>2025</v>
      </c>
      <c r="O20" s="114" t="s">
        <v>299</v>
      </c>
      <c r="P20" s="114"/>
      <c r="Q20" s="114"/>
      <c r="R20" s="114"/>
      <c r="S20" s="114"/>
      <c r="T20" s="114"/>
    </row>
    <row r="21" spans="1:20">
      <c r="A21" s="111"/>
      <c r="B21" s="111"/>
      <c r="C21" s="111"/>
      <c r="D21" s="111"/>
      <c r="E21" s="111"/>
      <c r="F21" s="111"/>
      <c r="M21" s="208">
        <v>45789</v>
      </c>
      <c r="N21" s="114">
        <f>MONTH(M21)</f>
        <v>5</v>
      </c>
      <c r="O21" s="114" t="s">
        <v>300</v>
      </c>
      <c r="P21" s="114"/>
      <c r="Q21" s="114"/>
      <c r="R21" s="114"/>
      <c r="S21" s="114"/>
      <c r="T21" s="114"/>
    </row>
    <row r="22" spans="1:20">
      <c r="A22" s="111" t="s">
        <v>295</v>
      </c>
      <c r="B22" s="111"/>
      <c r="C22" s="111"/>
      <c r="D22" s="111"/>
      <c r="E22" s="111"/>
      <c r="F22" s="111"/>
      <c r="M22" s="208">
        <v>45789</v>
      </c>
      <c r="N22" s="114">
        <f>DAY(M22)</f>
        <v>12</v>
      </c>
      <c r="O22" s="114" t="s">
        <v>301</v>
      </c>
      <c r="P22" s="114"/>
      <c r="Q22" s="114"/>
      <c r="R22" s="114"/>
      <c r="S22" s="114"/>
      <c r="T22" s="114"/>
    </row>
    <row r="23" spans="1:20">
      <c r="A23" s="111" t="str">
        <f>DATEDIF(B11,C11,"y") &amp; " years, " &amp; DATEDIF(B11,C11,"ym") &amp; " months, " &amp; DATEDIF(B11,C11,"md") &amp; " days"</f>
        <v>25 years, 1 months, 3 days</v>
      </c>
      <c r="B23" s="111"/>
      <c r="C23" s="111"/>
      <c r="D23" s="111"/>
      <c r="E23" s="111"/>
      <c r="F23" s="111"/>
      <c r="H23" s="205" t="s">
        <v>298</v>
      </c>
      <c r="I23" s="91"/>
      <c r="J23" s="91"/>
      <c r="K23" s="91"/>
    </row>
    <row r="24" spans="1:20">
      <c r="A24" s="111" t="s">
        <v>296</v>
      </c>
      <c r="B24" s="111"/>
      <c r="C24" s="111"/>
      <c r="D24" s="111"/>
      <c r="E24" s="111"/>
      <c r="F24" s="111"/>
      <c r="H24" s="91"/>
      <c r="I24" s="91"/>
      <c r="J24" s="91"/>
      <c r="K24" s="91"/>
    </row>
    <row r="25" spans="1:20">
      <c r="H25" s="206">
        <f>DATE(2025,10,15)</f>
        <v>45945</v>
      </c>
      <c r="I25" s="91"/>
      <c r="J25" s="91"/>
      <c r="K25" s="91"/>
    </row>
    <row r="28" spans="1:20">
      <c r="A28" s="209" t="s">
        <v>303</v>
      </c>
      <c r="B28" s="210"/>
      <c r="C28" s="210"/>
      <c r="D28" s="210"/>
      <c r="H28" s="212" t="s">
        <v>305</v>
      </c>
      <c r="I28" s="6"/>
      <c r="J28" s="6"/>
      <c r="K28" s="6"/>
      <c r="L28" s="6"/>
    </row>
    <row r="29" spans="1:20">
      <c r="A29" s="210">
        <f ca="1">DATEDIF(TODAY(), H25, "d")</f>
        <v>82</v>
      </c>
      <c r="B29" s="210"/>
      <c r="C29" s="210"/>
      <c r="D29" s="210"/>
    </row>
    <row r="30" spans="1:20">
      <c r="A30" s="211">
        <f>EDATE(H25,2)</f>
        <v>46006</v>
      </c>
      <c r="B30" s="210"/>
      <c r="C30" s="210"/>
      <c r="D30" s="210"/>
      <c r="H30" s="23" t="s">
        <v>306</v>
      </c>
    </row>
    <row r="31" spans="1:20">
      <c r="A31" s="211">
        <f>DATE(2024,12,4)</f>
        <v>45630</v>
      </c>
      <c r="B31" s="210"/>
      <c r="C31" s="210"/>
      <c r="D31" s="210"/>
      <c r="H31" s="23" t="s">
        <v>307</v>
      </c>
    </row>
    <row r="32" spans="1:20">
      <c r="A32" s="211">
        <f>EOMONTH(B13,1)</f>
        <v>43281</v>
      </c>
      <c r="B32" s="210"/>
      <c r="C32" s="210"/>
      <c r="D32" s="210"/>
      <c r="H32" s="23" t="s">
        <v>308</v>
      </c>
    </row>
    <row r="33" spans="1:10">
      <c r="A33" s="210" t="s">
        <v>304</v>
      </c>
      <c r="B33" s="210"/>
      <c r="C33" s="210"/>
      <c r="D33" s="210"/>
      <c r="H33" s="23" t="s">
        <v>309</v>
      </c>
      <c r="I33" s="23"/>
      <c r="J33" s="23"/>
    </row>
    <row r="34" spans="1:10">
      <c r="A34" s="210" t="str">
        <f ca="1">"Your birthday is in  " &amp; DATEDIF(TODAY(), H25, "d") &amp; " days!"</f>
        <v>Your birthday is in  82 days!</v>
      </c>
      <c r="B34" s="210"/>
      <c r="C34" s="210"/>
      <c r="D34" s="210"/>
      <c r="H34" s="23" t="s">
        <v>310</v>
      </c>
      <c r="I34" s="23"/>
      <c r="J34" s="2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4A3E5-71AA-48F2-BC9A-1D40221C6D8C}">
  <sheetPr codeName="Sheet11"/>
  <dimension ref="A1:N61"/>
  <sheetViews>
    <sheetView tabSelected="1" workbookViewId="0">
      <selection activeCell="E51" sqref="E51"/>
    </sheetView>
  </sheetViews>
  <sheetFormatPr defaultRowHeight="15"/>
  <cols>
    <col min="1" max="1" width="7.7109375" bestFit="1" customWidth="1"/>
    <col min="2" max="2" width="13.7109375" bestFit="1" customWidth="1"/>
    <col min="3" max="3" width="13.5703125" customWidth="1"/>
    <col min="4" max="4" width="13.42578125" bestFit="1" customWidth="1"/>
    <col min="5" max="5" width="16" customWidth="1"/>
    <col min="8" max="8" width="17.85546875" customWidth="1"/>
    <col min="9" max="9" width="16.140625" customWidth="1"/>
    <col min="10" max="10" width="14.7109375" customWidth="1"/>
    <col min="13" max="13" width="9.7109375" customWidth="1"/>
    <col min="14" max="14" width="11" customWidth="1"/>
  </cols>
  <sheetData>
    <row r="1" spans="1:13">
      <c r="A1" s="1" t="s">
        <v>199</v>
      </c>
      <c r="B1" s="1" t="s">
        <v>311</v>
      </c>
      <c r="C1" s="1" t="s">
        <v>202</v>
      </c>
      <c r="D1" s="214" t="s">
        <v>312</v>
      </c>
      <c r="E1" s="90" t="s">
        <v>313</v>
      </c>
      <c r="F1" s="1"/>
    </row>
    <row r="2" spans="1:13" ht="21" customHeight="1">
      <c r="A2" s="2">
        <v>1</v>
      </c>
      <c r="B2" s="2" t="s">
        <v>205</v>
      </c>
      <c r="C2" s="2" t="s">
        <v>67</v>
      </c>
      <c r="D2" s="218">
        <v>52000</v>
      </c>
      <c r="E2" s="219" t="str">
        <f>IF(D2&gt;=25000,"High","Low")</f>
        <v>High</v>
      </c>
      <c r="F2" s="220" t="s">
        <v>314</v>
      </c>
      <c r="G2" s="107"/>
      <c r="H2" s="107"/>
      <c r="I2" s="107"/>
      <c r="J2" s="107"/>
      <c r="K2" s="107"/>
      <c r="L2" s="107"/>
      <c r="M2" s="107"/>
    </row>
    <row r="3" spans="1:13">
      <c r="A3" s="2">
        <v>2</v>
      </c>
      <c r="B3" s="2" t="s">
        <v>206</v>
      </c>
      <c r="C3" s="2" t="s">
        <v>68</v>
      </c>
      <c r="D3" s="217">
        <v>1000</v>
      </c>
      <c r="E3" s="219" t="str">
        <f t="shared" ref="E3:E9" si="0">IF(D3&gt;=25000,"High","Low")</f>
        <v>Low</v>
      </c>
      <c r="F3" s="2"/>
    </row>
    <row r="4" spans="1:13">
      <c r="A4" s="2">
        <v>3</v>
      </c>
      <c r="B4" s="2" t="s">
        <v>207</v>
      </c>
      <c r="C4" s="2" t="s">
        <v>50</v>
      </c>
      <c r="D4" s="217">
        <v>25000</v>
      </c>
      <c r="E4" s="219" t="str">
        <f t="shared" si="0"/>
        <v>High</v>
      </c>
      <c r="F4" s="2"/>
      <c r="I4" s="215"/>
    </row>
    <row r="5" spans="1:13">
      <c r="A5" s="2">
        <v>4</v>
      </c>
      <c r="B5" s="2" t="s">
        <v>209</v>
      </c>
      <c r="C5" s="2" t="s">
        <v>71</v>
      </c>
      <c r="D5" s="217">
        <v>4500</v>
      </c>
      <c r="E5" s="219" t="str">
        <f t="shared" si="0"/>
        <v>Low</v>
      </c>
      <c r="F5" s="2"/>
      <c r="I5" s="216"/>
    </row>
    <row r="6" spans="1:13">
      <c r="A6" s="2">
        <v>5</v>
      </c>
      <c r="B6" s="2" t="s">
        <v>211</v>
      </c>
      <c r="C6" s="2" t="s">
        <v>212</v>
      </c>
      <c r="D6" s="217">
        <v>36000</v>
      </c>
      <c r="E6" s="219" t="str">
        <f t="shared" si="0"/>
        <v>High</v>
      </c>
      <c r="F6" s="2"/>
      <c r="H6" s="215"/>
      <c r="I6" s="216"/>
      <c r="K6" t="s">
        <v>60</v>
      </c>
    </row>
    <row r="7" spans="1:13">
      <c r="A7" s="2">
        <v>6</v>
      </c>
      <c r="B7" s="2" t="s">
        <v>215</v>
      </c>
      <c r="C7" s="2" t="s">
        <v>208</v>
      </c>
      <c r="D7" s="217">
        <v>44000</v>
      </c>
      <c r="E7" s="219" t="str">
        <f t="shared" si="0"/>
        <v>High</v>
      </c>
      <c r="F7" s="2"/>
      <c r="H7" s="216"/>
      <c r="I7" s="216"/>
    </row>
    <row r="8" spans="1:13">
      <c r="A8" s="2">
        <v>7</v>
      </c>
      <c r="B8" s="2" t="s">
        <v>213</v>
      </c>
      <c r="C8" s="2" t="s">
        <v>50</v>
      </c>
      <c r="D8" s="217">
        <v>11000</v>
      </c>
      <c r="E8" s="219" t="str">
        <f t="shared" si="0"/>
        <v>Low</v>
      </c>
      <c r="F8" s="2"/>
      <c r="H8" s="216"/>
      <c r="I8" s="216"/>
    </row>
    <row r="9" spans="1:13">
      <c r="A9" s="2">
        <v>8</v>
      </c>
      <c r="B9" s="2" t="s">
        <v>214</v>
      </c>
      <c r="C9" s="2" t="s">
        <v>67</v>
      </c>
      <c r="D9" s="217">
        <v>60000</v>
      </c>
      <c r="E9" s="219" t="str">
        <f t="shared" si="0"/>
        <v>High</v>
      </c>
      <c r="F9" s="2"/>
      <c r="H9" s="216"/>
      <c r="I9" s="216"/>
    </row>
    <row r="10" spans="1:13">
      <c r="H10" s="216"/>
      <c r="I10" s="216"/>
    </row>
    <row r="11" spans="1:13">
      <c r="A11" s="180" t="s">
        <v>315</v>
      </c>
      <c r="B11" s="39"/>
      <c r="C11" s="39"/>
      <c r="D11" s="39"/>
      <c r="E11" s="39"/>
      <c r="H11" s="222" t="s">
        <v>317</v>
      </c>
      <c r="I11" s="223"/>
      <c r="J11" s="224"/>
      <c r="K11" s="224"/>
      <c r="L11" s="224"/>
      <c r="M11" s="224"/>
    </row>
    <row r="12" spans="1:13">
      <c r="H12" s="216"/>
    </row>
    <row r="13" spans="1:13" ht="30">
      <c r="A13" s="1" t="s">
        <v>199</v>
      </c>
      <c r="B13" s="1" t="s">
        <v>311</v>
      </c>
      <c r="C13" s="1" t="s">
        <v>202</v>
      </c>
      <c r="D13" s="214" t="s">
        <v>312</v>
      </c>
      <c r="E13" s="221" t="s">
        <v>316</v>
      </c>
      <c r="H13" s="1" t="s">
        <v>199</v>
      </c>
      <c r="I13" s="1" t="s">
        <v>311</v>
      </c>
      <c r="J13" s="1" t="s">
        <v>202</v>
      </c>
      <c r="K13" s="214" t="s">
        <v>312</v>
      </c>
      <c r="L13" s="222" t="s">
        <v>318</v>
      </c>
    </row>
    <row r="14" spans="1:13">
      <c r="A14" s="2">
        <v>1</v>
      </c>
      <c r="B14" s="2" t="s">
        <v>205</v>
      </c>
      <c r="C14" s="2" t="s">
        <v>67</v>
      </c>
      <c r="D14" s="218">
        <v>52000</v>
      </c>
      <c r="E14" s="39" t="str">
        <f>IF(AND(D14&gt;=50000,C14="Laptop"),"High Sale","Low Sale")</f>
        <v>High Sale</v>
      </c>
      <c r="H14" s="2">
        <v>1</v>
      </c>
      <c r="I14" s="2" t="s">
        <v>205</v>
      </c>
      <c r="J14" s="2" t="s">
        <v>67</v>
      </c>
      <c r="K14" s="218">
        <v>52000</v>
      </c>
      <c r="L14" s="222" t="str">
        <f>IF(OR(C2="Laptop", D2&gt;50000), "Yes", "No")</f>
        <v>Yes</v>
      </c>
    </row>
    <row r="15" spans="1:13">
      <c r="A15" s="2">
        <v>2</v>
      </c>
      <c r="B15" s="2" t="s">
        <v>206</v>
      </c>
      <c r="C15" s="2" t="s">
        <v>68</v>
      </c>
      <c r="D15" s="217">
        <v>1000</v>
      </c>
      <c r="E15" s="39" t="str">
        <f t="shared" ref="E15:E21" si="1">IF(AND(D15&gt;=50000,C15="Laptop"),"High Sale","Low Sale")</f>
        <v>Low Sale</v>
      </c>
      <c r="H15" s="2">
        <v>2</v>
      </c>
      <c r="I15" s="2" t="s">
        <v>206</v>
      </c>
      <c r="J15" s="2" t="s">
        <v>68</v>
      </c>
      <c r="K15" s="217">
        <v>1000</v>
      </c>
      <c r="L15" s="222" t="str">
        <f t="shared" ref="L15:L21" si="2">IF(OR(C3="Laptop", D3&gt;50000), "Yes", "No")</f>
        <v>No</v>
      </c>
    </row>
    <row r="16" spans="1:13">
      <c r="A16" s="2">
        <v>3</v>
      </c>
      <c r="B16" s="2" t="s">
        <v>207</v>
      </c>
      <c r="C16" s="2" t="s">
        <v>225</v>
      </c>
      <c r="D16" s="217">
        <v>25000</v>
      </c>
      <c r="E16" s="39" t="str">
        <f t="shared" si="1"/>
        <v>Low Sale</v>
      </c>
      <c r="H16" s="2">
        <v>3</v>
      </c>
      <c r="I16" s="2" t="s">
        <v>207</v>
      </c>
      <c r="J16" s="2" t="s">
        <v>225</v>
      </c>
      <c r="K16" s="217">
        <v>25000</v>
      </c>
      <c r="L16" s="222" t="str">
        <f t="shared" si="2"/>
        <v>No</v>
      </c>
    </row>
    <row r="17" spans="1:14">
      <c r="A17" s="2">
        <v>4</v>
      </c>
      <c r="B17" s="2" t="s">
        <v>209</v>
      </c>
      <c r="C17" s="2" t="s">
        <v>71</v>
      </c>
      <c r="D17" s="217">
        <v>4500</v>
      </c>
      <c r="E17" s="39" t="str">
        <f t="shared" si="1"/>
        <v>Low Sale</v>
      </c>
      <c r="H17" s="2">
        <v>4</v>
      </c>
      <c r="I17" s="2" t="s">
        <v>209</v>
      </c>
      <c r="J17" s="2" t="s">
        <v>71</v>
      </c>
      <c r="K17" s="217">
        <v>4500</v>
      </c>
      <c r="L17" s="222" t="str">
        <f t="shared" si="2"/>
        <v>No</v>
      </c>
    </row>
    <row r="18" spans="1:14">
      <c r="A18" s="2">
        <v>5</v>
      </c>
      <c r="B18" s="2" t="s">
        <v>211</v>
      </c>
      <c r="C18" s="2" t="s">
        <v>212</v>
      </c>
      <c r="D18" s="217">
        <v>36000</v>
      </c>
      <c r="E18" s="39" t="str">
        <f t="shared" si="1"/>
        <v>Low Sale</v>
      </c>
      <c r="H18" s="2">
        <v>5</v>
      </c>
      <c r="I18" s="2" t="s">
        <v>211</v>
      </c>
      <c r="J18" s="2" t="s">
        <v>212</v>
      </c>
      <c r="K18" s="217">
        <v>36000</v>
      </c>
      <c r="L18" s="222" t="str">
        <f t="shared" si="2"/>
        <v>No</v>
      </c>
    </row>
    <row r="19" spans="1:14">
      <c r="A19" s="2">
        <v>6</v>
      </c>
      <c r="B19" s="2" t="s">
        <v>215</v>
      </c>
      <c r="C19" s="2" t="s">
        <v>208</v>
      </c>
      <c r="D19" s="217">
        <v>44000</v>
      </c>
      <c r="E19" s="39" t="str">
        <f t="shared" si="1"/>
        <v>Low Sale</v>
      </c>
      <c r="H19" s="2">
        <v>6</v>
      </c>
      <c r="I19" s="2" t="s">
        <v>215</v>
      </c>
      <c r="J19" s="2" t="s">
        <v>208</v>
      </c>
      <c r="K19" s="217">
        <v>44000</v>
      </c>
      <c r="L19" s="222" t="str">
        <f t="shared" si="2"/>
        <v>No</v>
      </c>
    </row>
    <row r="20" spans="1:14">
      <c r="A20" s="2">
        <v>7</v>
      </c>
      <c r="B20" s="2" t="s">
        <v>213</v>
      </c>
      <c r="C20" s="2" t="s">
        <v>50</v>
      </c>
      <c r="D20" s="217">
        <v>11000</v>
      </c>
      <c r="E20" s="39" t="str">
        <f t="shared" si="1"/>
        <v>Low Sale</v>
      </c>
      <c r="H20" s="2">
        <v>7</v>
      </c>
      <c r="I20" s="2" t="s">
        <v>213</v>
      </c>
      <c r="J20" s="2" t="s">
        <v>50</v>
      </c>
      <c r="K20" s="217">
        <v>11000</v>
      </c>
      <c r="L20" s="222" t="str">
        <f t="shared" si="2"/>
        <v>No</v>
      </c>
    </row>
    <row r="21" spans="1:14">
      <c r="A21" s="2">
        <v>8</v>
      </c>
      <c r="B21" s="2" t="s">
        <v>214</v>
      </c>
      <c r="C21" s="2" t="s">
        <v>67</v>
      </c>
      <c r="D21" s="217">
        <v>60000</v>
      </c>
      <c r="E21" s="39" t="str">
        <f t="shared" si="1"/>
        <v>High Sale</v>
      </c>
      <c r="H21" s="2">
        <v>8</v>
      </c>
      <c r="I21" s="2" t="s">
        <v>214</v>
      </c>
      <c r="J21" s="2" t="s">
        <v>67</v>
      </c>
      <c r="K21" s="217">
        <v>60000</v>
      </c>
      <c r="L21" s="222" t="str">
        <f t="shared" si="2"/>
        <v>Yes</v>
      </c>
    </row>
    <row r="24" spans="1:14">
      <c r="A24" s="212" t="s">
        <v>319</v>
      </c>
      <c r="B24" s="6"/>
      <c r="C24" s="6"/>
      <c r="D24" s="6"/>
      <c r="E24" s="6"/>
      <c r="H24" s="228" t="s">
        <v>321</v>
      </c>
      <c r="I24" s="41"/>
      <c r="J24" s="41"/>
      <c r="K24" s="41"/>
      <c r="L24" s="41"/>
    </row>
    <row r="25" spans="1:14">
      <c r="A25" s="23" t="s">
        <v>199</v>
      </c>
      <c r="B25" s="23" t="s">
        <v>311</v>
      </c>
      <c r="C25" s="23" t="s">
        <v>202</v>
      </c>
      <c r="D25" s="23" t="s">
        <v>312</v>
      </c>
      <c r="E25" s="73" t="s">
        <v>318</v>
      </c>
      <c r="H25" s="23" t="s">
        <v>199</v>
      </c>
      <c r="I25" s="23" t="s">
        <v>311</v>
      </c>
      <c r="J25" s="23" t="s">
        <v>202</v>
      </c>
      <c r="K25" s="23" t="s">
        <v>312</v>
      </c>
      <c r="M25" s="226" t="s">
        <v>322</v>
      </c>
      <c r="N25" s="40" t="s">
        <v>323</v>
      </c>
    </row>
    <row r="26" spans="1:14">
      <c r="A26">
        <v>1</v>
      </c>
      <c r="B26" t="s">
        <v>205</v>
      </c>
      <c r="C26" t="s">
        <v>67</v>
      </c>
      <c r="D26" s="225">
        <v>30000</v>
      </c>
      <c r="E26" s="6" t="str">
        <f>IF(OR(C2="Smartphones", D2&gt;35000), "Yes", "No")</f>
        <v>Yes</v>
      </c>
      <c r="H26">
        <v>1</v>
      </c>
      <c r="I26" t="s">
        <v>205</v>
      </c>
      <c r="J26" t="s">
        <v>67</v>
      </c>
      <c r="K26" s="218">
        <v>52000</v>
      </c>
      <c r="M26">
        <v>10</v>
      </c>
      <c r="N26" s="41">
        <f>IFERROR(K26/M26, "Check Units")</f>
        <v>5200</v>
      </c>
    </row>
    <row r="27" spans="1:14">
      <c r="A27">
        <v>2</v>
      </c>
      <c r="B27" t="s">
        <v>206</v>
      </c>
      <c r="C27" t="s">
        <v>68</v>
      </c>
      <c r="D27" s="225">
        <v>1000</v>
      </c>
      <c r="E27" s="6" t="str">
        <f t="shared" ref="E27:E33" si="3">IF(OR(C3="Smartphones", D3&gt;35000), "Yes", "No")</f>
        <v>No</v>
      </c>
      <c r="H27">
        <v>2</v>
      </c>
      <c r="I27" t="s">
        <v>206</v>
      </c>
      <c r="J27" t="s">
        <v>68</v>
      </c>
      <c r="K27" s="217">
        <v>1000</v>
      </c>
      <c r="M27">
        <v>0</v>
      </c>
      <c r="N27" s="41" t="str">
        <f t="shared" ref="N27:N33" si="4">IFERROR(K27/M27, "Check Units")</f>
        <v>Check Units</v>
      </c>
    </row>
    <row r="28" spans="1:14">
      <c r="A28">
        <v>3</v>
      </c>
      <c r="B28" t="s">
        <v>207</v>
      </c>
      <c r="C28" t="s">
        <v>225</v>
      </c>
      <c r="D28" s="225">
        <v>25000</v>
      </c>
      <c r="E28" s="6" t="str">
        <f t="shared" si="3"/>
        <v>No</v>
      </c>
      <c r="H28">
        <v>3</v>
      </c>
      <c r="I28" t="s">
        <v>207</v>
      </c>
      <c r="J28" t="s">
        <v>225</v>
      </c>
      <c r="K28" s="217">
        <v>25000</v>
      </c>
      <c r="M28">
        <v>5</v>
      </c>
      <c r="N28" s="41">
        <f t="shared" si="4"/>
        <v>5000</v>
      </c>
    </row>
    <row r="29" spans="1:14">
      <c r="A29">
        <v>4</v>
      </c>
      <c r="B29" t="s">
        <v>209</v>
      </c>
      <c r="C29" t="s">
        <v>71</v>
      </c>
      <c r="D29" s="225">
        <v>4500</v>
      </c>
      <c r="E29" s="6" t="str">
        <f t="shared" si="3"/>
        <v>No</v>
      </c>
      <c r="H29">
        <v>4</v>
      </c>
      <c r="I29" t="s">
        <v>209</v>
      </c>
      <c r="J29" t="s">
        <v>71</v>
      </c>
      <c r="K29" s="217">
        <v>4500</v>
      </c>
      <c r="M29">
        <v>9</v>
      </c>
      <c r="N29" s="41">
        <f t="shared" si="4"/>
        <v>500</v>
      </c>
    </row>
    <row r="30" spans="1:14">
      <c r="A30">
        <v>5</v>
      </c>
      <c r="B30" t="s">
        <v>211</v>
      </c>
      <c r="C30" t="s">
        <v>320</v>
      </c>
      <c r="D30" s="225">
        <v>36000</v>
      </c>
      <c r="E30" s="6" t="str">
        <f t="shared" si="3"/>
        <v>Yes</v>
      </c>
      <c r="H30">
        <v>5</v>
      </c>
      <c r="I30" t="s">
        <v>211</v>
      </c>
      <c r="J30" t="s">
        <v>320</v>
      </c>
      <c r="K30" s="217">
        <v>36000</v>
      </c>
      <c r="M30">
        <v>0</v>
      </c>
      <c r="N30" s="41" t="str">
        <f t="shared" si="4"/>
        <v>Check Units</v>
      </c>
    </row>
    <row r="31" spans="1:14">
      <c r="A31">
        <v>6</v>
      </c>
      <c r="B31" t="s">
        <v>215</v>
      </c>
      <c r="C31" t="s">
        <v>208</v>
      </c>
      <c r="D31" s="225">
        <v>44000</v>
      </c>
      <c r="E31" s="6" t="str">
        <f t="shared" si="3"/>
        <v>Yes</v>
      </c>
      <c r="H31">
        <v>6</v>
      </c>
      <c r="I31" t="s">
        <v>215</v>
      </c>
      <c r="J31" t="s">
        <v>208</v>
      </c>
      <c r="K31" s="217">
        <v>44000</v>
      </c>
      <c r="M31">
        <v>0</v>
      </c>
      <c r="N31" s="41" t="str">
        <f t="shared" si="4"/>
        <v>Check Units</v>
      </c>
    </row>
    <row r="32" spans="1:14">
      <c r="A32">
        <v>7</v>
      </c>
      <c r="B32" t="s">
        <v>213</v>
      </c>
      <c r="C32" t="s">
        <v>50</v>
      </c>
      <c r="D32" s="225">
        <v>11000</v>
      </c>
      <c r="E32" s="6" t="str">
        <f t="shared" si="3"/>
        <v>No</v>
      </c>
      <c r="H32">
        <v>7</v>
      </c>
      <c r="I32" t="s">
        <v>213</v>
      </c>
      <c r="J32" t="s">
        <v>50</v>
      </c>
      <c r="K32" s="217">
        <v>11000</v>
      </c>
      <c r="M32">
        <v>2</v>
      </c>
      <c r="N32" s="41">
        <f t="shared" si="4"/>
        <v>5500</v>
      </c>
    </row>
    <row r="33" spans="1:14">
      <c r="A33">
        <v>8</v>
      </c>
      <c r="B33" t="s">
        <v>214</v>
      </c>
      <c r="C33" t="s">
        <v>67</v>
      </c>
      <c r="D33" s="225">
        <v>32000</v>
      </c>
      <c r="E33" s="6" t="str">
        <f t="shared" si="3"/>
        <v>Yes</v>
      </c>
      <c r="H33">
        <v>8</v>
      </c>
      <c r="I33" t="s">
        <v>214</v>
      </c>
      <c r="J33" t="s">
        <v>67</v>
      </c>
      <c r="K33" s="217">
        <v>60000</v>
      </c>
      <c r="M33">
        <v>7</v>
      </c>
      <c r="N33" s="227">
        <f t="shared" si="4"/>
        <v>8571.4285714285706</v>
      </c>
    </row>
    <row r="35" spans="1:14" ht="18.75">
      <c r="A35" s="229" t="s">
        <v>324</v>
      </c>
      <c r="B35" s="230"/>
      <c r="C35" s="230"/>
      <c r="D35" s="230"/>
      <c r="E35" s="210"/>
    </row>
    <row r="37" spans="1:14">
      <c r="A37" s="23" t="s">
        <v>199</v>
      </c>
      <c r="B37" s="23" t="s">
        <v>311</v>
      </c>
      <c r="C37" s="23" t="s">
        <v>202</v>
      </c>
      <c r="D37" s="23" t="s">
        <v>312</v>
      </c>
      <c r="E37" s="73" t="s">
        <v>325</v>
      </c>
      <c r="F37" s="73" t="s">
        <v>326</v>
      </c>
      <c r="G37" s="73" t="s">
        <v>327</v>
      </c>
      <c r="H37" s="73" t="s">
        <v>328</v>
      </c>
    </row>
    <row r="38" spans="1:14">
      <c r="A38">
        <v>1</v>
      </c>
      <c r="B38" t="s">
        <v>205</v>
      </c>
      <c r="C38" t="s">
        <v>67</v>
      </c>
      <c r="D38" s="218">
        <v>52000</v>
      </c>
      <c r="E38" s="6" t="str">
        <f>IF(D38&gt;30000, "Above ", "Below")</f>
        <v xml:space="preserve">Above </v>
      </c>
      <c r="F38" s="6" t="str">
        <f>IF(AND(D38&gt;30000, C38="Smartphone"), "High", "Low")</f>
        <v>Low</v>
      </c>
      <c r="G38" s="6" t="str">
        <f>IF(OR(D38&gt;30000, C38="Laptop"), "Target Hit", "No")</f>
        <v>Target Hit</v>
      </c>
      <c r="H38" s="6" t="str">
        <f>IF(D38&gt;40000, "High", IF(D38&gt;=20000, "Medium", "Low"))</f>
        <v>High</v>
      </c>
    </row>
    <row r="39" spans="1:14">
      <c r="A39">
        <v>2</v>
      </c>
      <c r="B39" t="s">
        <v>206</v>
      </c>
      <c r="C39" t="s">
        <v>68</v>
      </c>
      <c r="D39" s="217">
        <v>1000</v>
      </c>
      <c r="E39" s="6" t="str">
        <f t="shared" ref="E39:E44" si="5">IF(D39&gt;30000, "Above ", "Below")</f>
        <v>Below</v>
      </c>
      <c r="F39" s="6" t="str">
        <f t="shared" ref="F39:F45" si="6">IF(AND(D39&gt;30000, C39="Smartphone"), "High", "Low")</f>
        <v>Low</v>
      </c>
      <c r="G39" s="6" t="str">
        <f t="shared" ref="G39:G45" si="7">IF(OR(D39&gt;30000, C39="Laptop"), "Target Hit", "No")</f>
        <v>No</v>
      </c>
      <c r="H39" s="6" t="str">
        <f t="shared" ref="H39:H45" si="8">IF(D39&gt;40000, "High", IF(D39&gt;=20000, "Medium", "Low"))</f>
        <v>Low</v>
      </c>
    </row>
    <row r="40" spans="1:14">
      <c r="A40">
        <v>3</v>
      </c>
      <c r="B40" t="s">
        <v>207</v>
      </c>
      <c r="C40" t="s">
        <v>225</v>
      </c>
      <c r="D40" s="217">
        <v>25000</v>
      </c>
      <c r="E40" s="6" t="str">
        <f t="shared" si="5"/>
        <v>Below</v>
      </c>
      <c r="F40" s="6" t="str">
        <f t="shared" si="6"/>
        <v>Low</v>
      </c>
      <c r="G40" s="6" t="str">
        <f t="shared" si="7"/>
        <v>No</v>
      </c>
      <c r="H40" s="6" t="str">
        <f t="shared" si="8"/>
        <v>Medium</v>
      </c>
    </row>
    <row r="41" spans="1:14">
      <c r="A41">
        <v>4</v>
      </c>
      <c r="B41" t="s">
        <v>209</v>
      </c>
      <c r="C41" t="s">
        <v>71</v>
      </c>
      <c r="D41" s="217">
        <v>4500</v>
      </c>
      <c r="E41" s="6" t="str">
        <f t="shared" si="5"/>
        <v>Below</v>
      </c>
      <c r="F41" s="6" t="str">
        <f t="shared" si="6"/>
        <v>Low</v>
      </c>
      <c r="G41" s="6" t="str">
        <f t="shared" si="7"/>
        <v>No</v>
      </c>
      <c r="H41" s="6" t="str">
        <f t="shared" si="8"/>
        <v>Low</v>
      </c>
    </row>
    <row r="42" spans="1:14">
      <c r="A42">
        <v>5</v>
      </c>
      <c r="B42" t="s">
        <v>211</v>
      </c>
      <c r="C42" t="s">
        <v>320</v>
      </c>
      <c r="D42" s="217">
        <v>36000</v>
      </c>
      <c r="E42" s="6" t="str">
        <f t="shared" si="5"/>
        <v xml:space="preserve">Above </v>
      </c>
      <c r="F42" s="6" t="str">
        <f t="shared" si="6"/>
        <v>Low</v>
      </c>
      <c r="G42" s="6" t="str">
        <f t="shared" si="7"/>
        <v>Target Hit</v>
      </c>
      <c r="H42" s="6" t="str">
        <f t="shared" si="8"/>
        <v>Medium</v>
      </c>
    </row>
    <row r="43" spans="1:14">
      <c r="A43">
        <v>6</v>
      </c>
      <c r="B43" t="s">
        <v>215</v>
      </c>
      <c r="C43" t="s">
        <v>208</v>
      </c>
      <c r="D43" s="217">
        <v>44000</v>
      </c>
      <c r="E43" s="6" t="str">
        <f t="shared" si="5"/>
        <v xml:space="preserve">Above </v>
      </c>
      <c r="F43" s="6" t="str">
        <f t="shared" si="6"/>
        <v>High</v>
      </c>
      <c r="G43" s="6" t="str">
        <f t="shared" si="7"/>
        <v>Target Hit</v>
      </c>
      <c r="H43" s="6" t="str">
        <f t="shared" si="8"/>
        <v>High</v>
      </c>
    </row>
    <row r="44" spans="1:14">
      <c r="A44">
        <v>7</v>
      </c>
      <c r="B44" t="s">
        <v>213</v>
      </c>
      <c r="C44" t="s">
        <v>50</v>
      </c>
      <c r="D44" s="217">
        <v>11000</v>
      </c>
      <c r="E44" s="6" t="str">
        <f t="shared" si="5"/>
        <v>Below</v>
      </c>
      <c r="F44" s="6" t="str">
        <f t="shared" si="6"/>
        <v>Low</v>
      </c>
      <c r="G44" s="6" t="str">
        <f t="shared" si="7"/>
        <v>No</v>
      </c>
      <c r="H44" s="6" t="str">
        <f t="shared" si="8"/>
        <v>Low</v>
      </c>
    </row>
    <row r="45" spans="1:14">
      <c r="A45">
        <v>8</v>
      </c>
      <c r="B45" t="s">
        <v>214</v>
      </c>
      <c r="C45" t="s">
        <v>67</v>
      </c>
      <c r="D45" s="217">
        <v>60000</v>
      </c>
      <c r="E45" s="6" t="str">
        <f>IF(D45&gt;30000, "Above ", "Below")</f>
        <v xml:space="preserve">Above </v>
      </c>
      <c r="F45" s="6" t="str">
        <f t="shared" si="6"/>
        <v>Low</v>
      </c>
      <c r="G45" s="6" t="str">
        <f t="shared" si="7"/>
        <v>Target Hit</v>
      </c>
      <c r="H45" s="6" t="str">
        <f t="shared" si="8"/>
        <v>High</v>
      </c>
    </row>
    <row r="48" spans="1:14" ht="18.75">
      <c r="A48" s="440" t="s">
        <v>329</v>
      </c>
      <c r="B48" s="231"/>
      <c r="C48" s="231"/>
      <c r="D48" s="231"/>
      <c r="E48" s="231"/>
      <c r="F48" s="231"/>
      <c r="G48" s="231"/>
      <c r="H48" s="231"/>
      <c r="I48" s="115"/>
      <c r="J48" s="115"/>
    </row>
    <row r="50" spans="1:5">
      <c r="A50" s="23" t="s">
        <v>199</v>
      </c>
      <c r="B50" s="23" t="s">
        <v>311</v>
      </c>
      <c r="C50" s="23" t="s">
        <v>202</v>
      </c>
      <c r="D50" s="23" t="s">
        <v>312</v>
      </c>
      <c r="E50" s="23" t="s">
        <v>1186</v>
      </c>
    </row>
    <row r="51" spans="1:5">
      <c r="A51">
        <v>1</v>
      </c>
      <c r="B51" s="22" t="s">
        <v>1177</v>
      </c>
      <c r="C51" t="s">
        <v>67</v>
      </c>
      <c r="D51" s="218">
        <v>65000</v>
      </c>
      <c r="E51" s="22" t="str">
        <f>IFERROR(IF(AND(D51&gt;=30000,OR(C51="Laptop",C51="Smartwatch")),"High Priority Sale",IF(AND(D51&gt;5000,D51&lt;30000),"Medium Sale",IF(AND(D51&lt;5000,D51&lt;&gt;""),"Low Sale","No Data"))),"No Data")</f>
        <v>High Priority Sale</v>
      </c>
    </row>
    <row r="52" spans="1:5">
      <c r="A52">
        <v>2</v>
      </c>
      <c r="B52" t="s">
        <v>1178</v>
      </c>
      <c r="C52" t="s">
        <v>68</v>
      </c>
      <c r="D52" s="217">
        <v>1200</v>
      </c>
      <c r="E52" s="22" t="str">
        <f t="shared" ref="E52:E58" si="9">IFERROR(IF(AND(D52&gt;=30000,OR(C52="Laptop",C52="Smartwatch")),"High Priority Sale",IF(AND(D52&gt;5000,D52&lt;30000),"Medium Sale",IF(AND(D52&lt;5000,D52&lt;&gt;""),"Low Sale","No Data"))),"No Data")</f>
        <v>Low Sale</v>
      </c>
    </row>
    <row r="53" spans="1:5">
      <c r="A53">
        <v>3</v>
      </c>
      <c r="B53" t="s">
        <v>1179</v>
      </c>
      <c r="C53" t="s">
        <v>1185</v>
      </c>
      <c r="D53" s="217"/>
      <c r="E53" s="22" t="str">
        <f t="shared" si="9"/>
        <v>No Data</v>
      </c>
    </row>
    <row r="54" spans="1:5">
      <c r="A54">
        <v>4</v>
      </c>
      <c r="B54" t="s">
        <v>1180</v>
      </c>
      <c r="C54" t="s">
        <v>1184</v>
      </c>
      <c r="D54" s="217">
        <v>6500</v>
      </c>
      <c r="E54" s="22" t="str">
        <f t="shared" si="9"/>
        <v>Medium Sale</v>
      </c>
    </row>
    <row r="55" spans="1:5">
      <c r="A55">
        <v>5</v>
      </c>
      <c r="B55" t="s">
        <v>1181</v>
      </c>
      <c r="C55" t="s">
        <v>50</v>
      </c>
      <c r="D55" s="217">
        <v>40000</v>
      </c>
      <c r="E55" s="22" t="str">
        <f t="shared" si="9"/>
        <v>High Priority Sale</v>
      </c>
    </row>
    <row r="56" spans="1:5">
      <c r="A56">
        <v>6</v>
      </c>
      <c r="B56" t="s">
        <v>1182</v>
      </c>
      <c r="C56" t="s">
        <v>208</v>
      </c>
      <c r="D56" s="217">
        <v>35000</v>
      </c>
      <c r="E56" s="22" t="str">
        <f t="shared" si="9"/>
        <v>No Data</v>
      </c>
    </row>
    <row r="57" spans="1:5">
      <c r="A57">
        <v>7</v>
      </c>
      <c r="B57" t="s">
        <v>1183</v>
      </c>
      <c r="C57" t="s">
        <v>212</v>
      </c>
      <c r="D57" s="217"/>
      <c r="E57" s="22" t="str">
        <f t="shared" si="9"/>
        <v>No Data</v>
      </c>
    </row>
    <row r="58" spans="1:5">
      <c r="A58">
        <v>8</v>
      </c>
      <c r="B58" t="s">
        <v>215</v>
      </c>
      <c r="C58" t="s">
        <v>225</v>
      </c>
      <c r="D58" s="217">
        <v>5300</v>
      </c>
      <c r="E58" s="22" t="str">
        <f t="shared" si="9"/>
        <v>Medium Sale</v>
      </c>
    </row>
    <row r="61" spans="1:5">
      <c r="B61"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742D3-AC54-4FB7-880E-046D83A21E61}">
  <sheetPr codeName="Sheet12" filterMode="1"/>
  <dimension ref="A1:P222"/>
  <sheetViews>
    <sheetView topLeftCell="A206" workbookViewId="0">
      <selection activeCell="G225" sqref="G225"/>
    </sheetView>
  </sheetViews>
  <sheetFormatPr defaultRowHeight="15"/>
  <cols>
    <col min="1" max="1" width="14" customWidth="1"/>
    <col min="2" max="2" width="14.85546875" customWidth="1"/>
    <col min="3" max="3" width="14.28515625" customWidth="1"/>
    <col min="4" max="4" width="13.7109375" customWidth="1"/>
    <col min="5" max="5" width="16.42578125" customWidth="1"/>
    <col min="6" max="6" width="15.5703125" customWidth="1"/>
    <col min="7" max="7" width="14.28515625" customWidth="1"/>
    <col min="8" max="8" width="13.28515625" customWidth="1"/>
    <col min="9" max="9" width="12.42578125" bestFit="1" customWidth="1"/>
    <col min="10" max="10" width="13.42578125" bestFit="1" customWidth="1"/>
    <col min="11" max="11" width="19.85546875" customWidth="1"/>
    <col min="12" max="12" width="15.7109375" bestFit="1" customWidth="1"/>
    <col min="13" max="13" width="12.42578125" customWidth="1"/>
    <col min="14" max="14" width="13.7109375" customWidth="1"/>
  </cols>
  <sheetData>
    <row r="1" spans="1:15" ht="20.25" customHeight="1">
      <c r="A1" s="1" t="s">
        <v>199</v>
      </c>
      <c r="B1" s="1" t="s">
        <v>311</v>
      </c>
      <c r="C1" s="1" t="s">
        <v>202</v>
      </c>
      <c r="D1" s="1" t="s">
        <v>312</v>
      </c>
      <c r="G1" s="232" t="s">
        <v>330</v>
      </c>
      <c r="H1" s="233"/>
      <c r="I1" s="233"/>
      <c r="J1" s="233"/>
      <c r="K1" s="233"/>
      <c r="L1" s="170"/>
    </row>
    <row r="2" spans="1:15">
      <c r="A2" s="2">
        <v>1</v>
      </c>
      <c r="B2" s="2" t="s">
        <v>205</v>
      </c>
      <c r="C2" s="2" t="s">
        <v>67</v>
      </c>
      <c r="D2" s="2">
        <v>52000</v>
      </c>
    </row>
    <row r="3" spans="1:15" ht="19.5" customHeight="1">
      <c r="A3" s="2">
        <v>2</v>
      </c>
      <c r="B3" s="2" t="s">
        <v>206</v>
      </c>
      <c r="C3" s="2" t="s">
        <v>68</v>
      </c>
      <c r="D3" s="2">
        <v>1000</v>
      </c>
      <c r="G3" t="s">
        <v>199</v>
      </c>
      <c r="H3" t="s">
        <v>311</v>
      </c>
      <c r="I3" t="s">
        <v>202</v>
      </c>
      <c r="J3" s="1" t="s">
        <v>312</v>
      </c>
    </row>
    <row r="4" spans="1:15">
      <c r="A4" s="2">
        <v>3</v>
      </c>
      <c r="B4" s="2" t="s">
        <v>207</v>
      </c>
      <c r="C4" s="2" t="s">
        <v>208</v>
      </c>
      <c r="D4" s="2">
        <v>25000</v>
      </c>
      <c r="G4">
        <v>1</v>
      </c>
      <c r="H4" t="s">
        <v>205</v>
      </c>
      <c r="I4" t="s">
        <v>67</v>
      </c>
      <c r="J4" s="2">
        <v>52000</v>
      </c>
      <c r="L4" t="s">
        <v>60</v>
      </c>
      <c r="M4" t="s">
        <v>60</v>
      </c>
    </row>
    <row r="5" spans="1:15">
      <c r="A5" s="2">
        <v>4</v>
      </c>
      <c r="B5" s="2" t="s">
        <v>209</v>
      </c>
      <c r="C5" s="2" t="s">
        <v>71</v>
      </c>
      <c r="D5" s="2">
        <v>4500</v>
      </c>
      <c r="G5">
        <v>2</v>
      </c>
      <c r="H5" t="s">
        <v>206</v>
      </c>
      <c r="I5" t="s">
        <v>68</v>
      </c>
      <c r="J5" s="2">
        <v>1000</v>
      </c>
    </row>
    <row r="6" spans="1:15">
      <c r="A6" s="2">
        <v>5</v>
      </c>
      <c r="B6" s="2" t="s">
        <v>211</v>
      </c>
      <c r="C6" s="2" t="s">
        <v>212</v>
      </c>
      <c r="D6" s="2">
        <v>36000</v>
      </c>
      <c r="G6">
        <v>3</v>
      </c>
      <c r="H6" t="s">
        <v>207</v>
      </c>
      <c r="I6" t="s">
        <v>208</v>
      </c>
      <c r="J6" s="2">
        <v>25000</v>
      </c>
    </row>
    <row r="7" spans="1:15">
      <c r="A7" s="2">
        <v>6</v>
      </c>
      <c r="B7" s="2" t="s">
        <v>215</v>
      </c>
      <c r="C7" s="2" t="s">
        <v>208</v>
      </c>
      <c r="D7" s="2">
        <v>44000</v>
      </c>
      <c r="G7">
        <v>4</v>
      </c>
      <c r="H7" t="s">
        <v>209</v>
      </c>
      <c r="I7" t="s">
        <v>71</v>
      </c>
      <c r="J7" s="2">
        <v>4500</v>
      </c>
    </row>
    <row r="8" spans="1:15">
      <c r="A8" s="2">
        <v>7</v>
      </c>
      <c r="B8" s="2" t="s">
        <v>213</v>
      </c>
      <c r="C8" s="2" t="s">
        <v>50</v>
      </c>
      <c r="D8" s="2">
        <v>11000</v>
      </c>
      <c r="G8">
        <v>5</v>
      </c>
      <c r="H8" t="s">
        <v>211</v>
      </c>
      <c r="I8" t="s">
        <v>212</v>
      </c>
      <c r="J8" s="2">
        <v>36000</v>
      </c>
    </row>
    <row r="9" spans="1:15">
      <c r="A9" s="2">
        <v>8</v>
      </c>
      <c r="B9" s="2" t="s">
        <v>205</v>
      </c>
      <c r="C9" s="2" t="s">
        <v>67</v>
      </c>
      <c r="D9" s="2">
        <v>52000</v>
      </c>
      <c r="G9">
        <v>6</v>
      </c>
      <c r="H9" t="s">
        <v>215</v>
      </c>
      <c r="I9" t="s">
        <v>208</v>
      </c>
      <c r="J9" s="2">
        <v>44000</v>
      </c>
    </row>
    <row r="10" spans="1:15">
      <c r="A10" s="2">
        <v>9</v>
      </c>
      <c r="B10" s="2" t="s">
        <v>211</v>
      </c>
      <c r="C10" s="2" t="s">
        <v>212</v>
      </c>
      <c r="D10" s="2">
        <v>36000</v>
      </c>
      <c r="G10">
        <v>7</v>
      </c>
      <c r="H10" t="s">
        <v>213</v>
      </c>
      <c r="I10" t="s">
        <v>50</v>
      </c>
      <c r="J10" s="2">
        <v>11000</v>
      </c>
    </row>
    <row r="11" spans="1:15">
      <c r="A11" s="2">
        <v>10</v>
      </c>
      <c r="B11" s="2" t="s">
        <v>207</v>
      </c>
      <c r="C11" s="2" t="s">
        <v>208</v>
      </c>
      <c r="D11" s="2">
        <v>25000</v>
      </c>
    </row>
    <row r="12" spans="1:15">
      <c r="A12" s="2">
        <v>11</v>
      </c>
      <c r="B12" s="2" t="s">
        <v>206</v>
      </c>
      <c r="C12" s="2" t="s">
        <v>68</v>
      </c>
      <c r="D12" s="2">
        <v>1000</v>
      </c>
    </row>
    <row r="13" spans="1:15">
      <c r="A13" s="2">
        <v>12</v>
      </c>
      <c r="B13" s="2" t="s">
        <v>215</v>
      </c>
      <c r="C13" s="2" t="s">
        <v>208</v>
      </c>
      <c r="D13" s="2">
        <v>44000</v>
      </c>
    </row>
    <row r="14" spans="1:15">
      <c r="A14" s="2">
        <v>13</v>
      </c>
      <c r="B14" s="2" t="s">
        <v>205</v>
      </c>
      <c r="C14" s="2" t="s">
        <v>67</v>
      </c>
      <c r="D14" s="2">
        <v>52000</v>
      </c>
      <c r="K14" s="238" t="s">
        <v>335</v>
      </c>
      <c r="L14" s="94"/>
      <c r="M14" s="94"/>
      <c r="N14" s="94"/>
      <c r="O14" s="94"/>
    </row>
    <row r="15" spans="1:15">
      <c r="A15" s="2">
        <v>14</v>
      </c>
      <c r="B15" s="2" t="s">
        <v>209</v>
      </c>
      <c r="C15" s="2" t="s">
        <v>71</v>
      </c>
      <c r="D15" s="2">
        <v>4500</v>
      </c>
    </row>
    <row r="16" spans="1:15">
      <c r="A16" s="2">
        <v>15</v>
      </c>
      <c r="B16" s="2" t="s">
        <v>207</v>
      </c>
      <c r="C16" s="2" t="s">
        <v>208</v>
      </c>
      <c r="D16" s="2">
        <v>25000</v>
      </c>
      <c r="G16" t="s">
        <v>60</v>
      </c>
      <c r="K16" t="s">
        <v>199</v>
      </c>
      <c r="L16" t="s">
        <v>311</v>
      </c>
      <c r="M16" t="s">
        <v>202</v>
      </c>
      <c r="N16" t="s">
        <v>312</v>
      </c>
    </row>
    <row r="17" spans="1:16">
      <c r="K17">
        <v>1</v>
      </c>
      <c r="L17" t="s">
        <v>205</v>
      </c>
      <c r="M17" t="s">
        <v>67</v>
      </c>
      <c r="N17">
        <v>52000</v>
      </c>
      <c r="P17" t="s">
        <v>60</v>
      </c>
    </row>
    <row r="18" spans="1:16">
      <c r="A18" s="234"/>
      <c r="B18" s="235" t="s">
        <v>331</v>
      </c>
      <c r="C18" s="234"/>
      <c r="D18" s="234"/>
      <c r="E18" s="234"/>
      <c r="K18">
        <v>2</v>
      </c>
      <c r="L18" t="s">
        <v>206</v>
      </c>
      <c r="M18" t="s">
        <v>68</v>
      </c>
      <c r="N18">
        <v>7000</v>
      </c>
    </row>
    <row r="19" spans="1:16">
      <c r="K19">
        <v>3</v>
      </c>
      <c r="L19" t="s">
        <v>207</v>
      </c>
      <c r="M19" t="s">
        <v>208</v>
      </c>
      <c r="N19">
        <v>25000</v>
      </c>
    </row>
    <row r="20" spans="1:16">
      <c r="A20" s="23" t="s">
        <v>199</v>
      </c>
      <c r="B20" s="23" t="s">
        <v>311</v>
      </c>
      <c r="C20" s="23" t="s">
        <v>202</v>
      </c>
      <c r="D20" s="23" t="s">
        <v>312</v>
      </c>
      <c r="E20" s="23" t="s">
        <v>130</v>
      </c>
      <c r="F20" s="23" t="s">
        <v>87</v>
      </c>
      <c r="G20" s="236" t="s">
        <v>333</v>
      </c>
      <c r="K20">
        <v>4</v>
      </c>
      <c r="L20" t="s">
        <v>209</v>
      </c>
      <c r="M20" t="s">
        <v>71</v>
      </c>
      <c r="N20">
        <v>4500</v>
      </c>
    </row>
    <row r="21" spans="1:16">
      <c r="A21">
        <v>1</v>
      </c>
      <c r="B21" t="s">
        <v>205</v>
      </c>
      <c r="C21" t="s">
        <v>67</v>
      </c>
      <c r="D21">
        <v>52000</v>
      </c>
      <c r="E21">
        <v>10</v>
      </c>
      <c r="F21">
        <f>D21*E21</f>
        <v>520000</v>
      </c>
      <c r="G21" s="237" t="str">
        <f>IF(ISERROR(F21), "Error", "OK")</f>
        <v>OK</v>
      </c>
      <c r="K21">
        <v>5</v>
      </c>
      <c r="L21" t="s">
        <v>211</v>
      </c>
      <c r="M21" t="s">
        <v>212</v>
      </c>
      <c r="N21">
        <v>36000</v>
      </c>
    </row>
    <row r="22" spans="1:16" hidden="1">
      <c r="A22">
        <v>2</v>
      </c>
      <c r="B22" t="s">
        <v>206</v>
      </c>
      <c r="C22" t="s">
        <v>68</v>
      </c>
      <c r="D22">
        <v>1000</v>
      </c>
      <c r="E22">
        <v>0</v>
      </c>
      <c r="F22" t="e">
        <f>D22/E22</f>
        <v>#DIV/0!</v>
      </c>
      <c r="G22" t="str">
        <f t="shared" ref="G22:G35" si="0">IF(ISERROR(F22), "Error", "OK")</f>
        <v>Error</v>
      </c>
      <c r="K22">
        <v>6</v>
      </c>
      <c r="L22" t="s">
        <v>215</v>
      </c>
      <c r="M22" t="s">
        <v>208</v>
      </c>
      <c r="N22">
        <v>44000</v>
      </c>
    </row>
    <row r="23" spans="1:16">
      <c r="A23">
        <v>3</v>
      </c>
      <c r="B23" t="s">
        <v>207</v>
      </c>
      <c r="C23" t="s">
        <v>208</v>
      </c>
      <c r="D23">
        <v>25000</v>
      </c>
      <c r="F23">
        <f t="shared" ref="F23:F34" si="1">D23*E23</f>
        <v>0</v>
      </c>
      <c r="G23" s="237" t="str">
        <f t="shared" si="0"/>
        <v>OK</v>
      </c>
      <c r="K23">
        <v>7</v>
      </c>
      <c r="L23" t="s">
        <v>213</v>
      </c>
      <c r="M23" t="s">
        <v>50</v>
      </c>
      <c r="N23">
        <v>52000</v>
      </c>
    </row>
    <row r="24" spans="1:16" hidden="1">
      <c r="A24">
        <v>4</v>
      </c>
      <c r="B24" t="s">
        <v>209</v>
      </c>
      <c r="C24" t="s">
        <v>71</v>
      </c>
      <c r="D24" t="s">
        <v>332</v>
      </c>
      <c r="E24">
        <v>4</v>
      </c>
      <c r="F24" t="e">
        <f t="shared" si="1"/>
        <v>#VALUE!</v>
      </c>
      <c r="G24" t="str">
        <f t="shared" si="0"/>
        <v>Error</v>
      </c>
      <c r="K24">
        <v>8</v>
      </c>
      <c r="L24" t="s">
        <v>205</v>
      </c>
      <c r="M24" t="s">
        <v>67</v>
      </c>
      <c r="N24">
        <v>52000</v>
      </c>
    </row>
    <row r="25" spans="1:16">
      <c r="A25">
        <v>5</v>
      </c>
      <c r="B25" t="s">
        <v>211</v>
      </c>
      <c r="C25" t="s">
        <v>212</v>
      </c>
      <c r="D25">
        <v>36000</v>
      </c>
      <c r="E25">
        <v>8</v>
      </c>
      <c r="F25">
        <f t="shared" si="1"/>
        <v>288000</v>
      </c>
      <c r="G25" s="237" t="str">
        <f t="shared" si="0"/>
        <v>OK</v>
      </c>
      <c r="K25">
        <v>9</v>
      </c>
      <c r="L25" t="s">
        <v>211</v>
      </c>
      <c r="M25" t="s">
        <v>212</v>
      </c>
      <c r="N25">
        <v>36000</v>
      </c>
    </row>
    <row r="26" spans="1:16">
      <c r="A26">
        <v>6</v>
      </c>
      <c r="B26" t="s">
        <v>215</v>
      </c>
      <c r="C26" t="s">
        <v>208</v>
      </c>
      <c r="D26">
        <v>44000</v>
      </c>
      <c r="F26">
        <f t="shared" si="1"/>
        <v>0</v>
      </c>
      <c r="G26" s="237" t="str">
        <f t="shared" si="0"/>
        <v>OK</v>
      </c>
      <c r="I26" t="s">
        <v>334</v>
      </c>
      <c r="K26">
        <v>10</v>
      </c>
      <c r="L26" t="s">
        <v>207</v>
      </c>
      <c r="M26" t="s">
        <v>208</v>
      </c>
      <c r="N26">
        <v>28000</v>
      </c>
    </row>
    <row r="27" spans="1:16">
      <c r="A27">
        <v>7</v>
      </c>
      <c r="B27" t="s">
        <v>213</v>
      </c>
      <c r="C27" t="s">
        <v>50</v>
      </c>
      <c r="D27">
        <v>11000</v>
      </c>
      <c r="E27">
        <v>3</v>
      </c>
      <c r="F27">
        <f t="shared" si="1"/>
        <v>33000</v>
      </c>
      <c r="G27" s="237" t="str">
        <f t="shared" si="0"/>
        <v>OK</v>
      </c>
      <c r="K27">
        <v>11</v>
      </c>
      <c r="L27" t="s">
        <v>206</v>
      </c>
      <c r="M27" t="s">
        <v>68</v>
      </c>
      <c r="N27">
        <v>1000</v>
      </c>
    </row>
    <row r="28" spans="1:16">
      <c r="A28">
        <v>8</v>
      </c>
      <c r="B28" t="s">
        <v>205</v>
      </c>
      <c r="C28" t="s">
        <v>67</v>
      </c>
      <c r="D28">
        <v>52000</v>
      </c>
      <c r="E28">
        <v>5</v>
      </c>
      <c r="F28">
        <f t="shared" si="1"/>
        <v>260000</v>
      </c>
      <c r="G28" s="237" t="str">
        <f t="shared" si="0"/>
        <v>OK</v>
      </c>
      <c r="K28">
        <v>12</v>
      </c>
      <c r="L28" t="s">
        <v>215</v>
      </c>
      <c r="M28" t="s">
        <v>208</v>
      </c>
      <c r="N28">
        <v>44000</v>
      </c>
    </row>
    <row r="29" spans="1:16" hidden="1">
      <c r="A29">
        <v>9</v>
      </c>
      <c r="B29" t="s">
        <v>211</v>
      </c>
      <c r="C29" t="s">
        <v>212</v>
      </c>
      <c r="D29" t="e">
        <v>#N/A</v>
      </c>
      <c r="E29">
        <v>9</v>
      </c>
      <c r="F29" t="e">
        <f t="shared" si="1"/>
        <v>#N/A</v>
      </c>
      <c r="G29" t="str">
        <f t="shared" si="0"/>
        <v>Error</v>
      </c>
      <c r="K29">
        <v>13</v>
      </c>
      <c r="L29" t="s">
        <v>205</v>
      </c>
      <c r="M29" t="s">
        <v>67</v>
      </c>
      <c r="N29">
        <v>52000</v>
      </c>
    </row>
    <row r="30" spans="1:16">
      <c r="A30">
        <v>10</v>
      </c>
      <c r="B30" t="s">
        <v>207</v>
      </c>
      <c r="C30" t="s">
        <v>208</v>
      </c>
      <c r="D30">
        <v>42000</v>
      </c>
      <c r="F30">
        <f t="shared" si="1"/>
        <v>0</v>
      </c>
      <c r="G30" s="237" t="str">
        <f t="shared" si="0"/>
        <v>OK</v>
      </c>
      <c r="K30">
        <v>14</v>
      </c>
      <c r="L30" t="s">
        <v>209</v>
      </c>
      <c r="M30" t="s">
        <v>71</v>
      </c>
      <c r="N30">
        <v>5500</v>
      </c>
    </row>
    <row r="31" spans="1:16">
      <c r="A31">
        <v>11</v>
      </c>
      <c r="B31" t="s">
        <v>206</v>
      </c>
      <c r="C31" t="s">
        <v>68</v>
      </c>
      <c r="D31">
        <v>1000</v>
      </c>
      <c r="E31">
        <v>2</v>
      </c>
      <c r="F31">
        <f t="shared" si="1"/>
        <v>2000</v>
      </c>
      <c r="G31" s="237" t="str">
        <f t="shared" si="0"/>
        <v>OK</v>
      </c>
      <c r="K31">
        <v>15</v>
      </c>
      <c r="L31" t="s">
        <v>207</v>
      </c>
      <c r="M31" t="s">
        <v>208</v>
      </c>
      <c r="N31">
        <v>25000</v>
      </c>
    </row>
    <row r="32" spans="1:16">
      <c r="A32">
        <v>12</v>
      </c>
      <c r="B32" t="s">
        <v>215</v>
      </c>
      <c r="C32" t="s">
        <v>208</v>
      </c>
      <c r="D32">
        <v>44000</v>
      </c>
      <c r="F32">
        <f t="shared" si="1"/>
        <v>0</v>
      </c>
      <c r="G32" s="237" t="str">
        <f t="shared" si="0"/>
        <v>OK</v>
      </c>
    </row>
    <row r="33" spans="1:11" hidden="1">
      <c r="A33">
        <v>13</v>
      </c>
      <c r="B33" t="s">
        <v>205</v>
      </c>
      <c r="C33" t="s">
        <v>67</v>
      </c>
      <c r="D33" t="e">
        <v>#N/A</v>
      </c>
      <c r="E33">
        <v>7</v>
      </c>
      <c r="F33" t="e">
        <f t="shared" si="1"/>
        <v>#N/A</v>
      </c>
      <c r="G33" t="str">
        <f t="shared" si="0"/>
        <v>Error</v>
      </c>
    </row>
    <row r="34" spans="1:11">
      <c r="A34">
        <v>14</v>
      </c>
      <c r="B34" t="s">
        <v>209</v>
      </c>
      <c r="C34" t="s">
        <v>71</v>
      </c>
      <c r="D34">
        <v>4500</v>
      </c>
      <c r="E34">
        <v>6</v>
      </c>
      <c r="F34">
        <f t="shared" si="1"/>
        <v>27000</v>
      </c>
      <c r="G34" s="237" t="str">
        <f t="shared" si="0"/>
        <v>OK</v>
      </c>
    </row>
    <row r="35" spans="1:11" hidden="1">
      <c r="A35">
        <v>15</v>
      </c>
      <c r="B35" t="s">
        <v>207</v>
      </c>
      <c r="C35" t="s">
        <v>208</v>
      </c>
      <c r="D35">
        <v>25000</v>
      </c>
      <c r="E35">
        <v>0</v>
      </c>
      <c r="F35" t="e">
        <f>D35/E35</f>
        <v>#DIV/0!</v>
      </c>
      <c r="G35" t="str">
        <f t="shared" si="0"/>
        <v>Error</v>
      </c>
    </row>
    <row r="38" spans="1:11">
      <c r="A38" s="176" t="s">
        <v>336</v>
      </c>
    </row>
    <row r="40" spans="1:11" ht="15.75">
      <c r="A40" t="s">
        <v>199</v>
      </c>
      <c r="B40" t="s">
        <v>311</v>
      </c>
      <c r="C40" t="s">
        <v>202</v>
      </c>
      <c r="D40" t="s">
        <v>312</v>
      </c>
      <c r="E40" t="s">
        <v>338</v>
      </c>
      <c r="F40" t="s">
        <v>337</v>
      </c>
      <c r="G40" s="39"/>
      <c r="H40" s="239" t="s">
        <v>339</v>
      </c>
      <c r="I40" s="39"/>
      <c r="J40" s="39"/>
      <c r="K40" s="39"/>
    </row>
    <row r="41" spans="1:11">
      <c r="A41">
        <v>1</v>
      </c>
      <c r="B41" t="s">
        <v>205</v>
      </c>
      <c r="C41" t="s">
        <v>67</v>
      </c>
      <c r="D41">
        <v>52000</v>
      </c>
      <c r="E41" t="str">
        <f>IF(COUNTIFS(B40:B55, B41, C40:C55, C41, D40:D55, D41)&gt;1, "Duplicate", "Unique")</f>
        <v>Duplicate</v>
      </c>
      <c r="F41" t="str">
        <f>IF(ISERROR(D41), "Error", "OK")</f>
        <v>OK</v>
      </c>
      <c r="G41" s="39">
        <v>1</v>
      </c>
      <c r="H41" s="39" t="s">
        <v>311</v>
      </c>
      <c r="I41" s="39" t="s">
        <v>202</v>
      </c>
      <c r="J41" s="39" t="s">
        <v>312</v>
      </c>
      <c r="K41" s="39"/>
    </row>
    <row r="42" spans="1:11">
      <c r="A42">
        <v>2</v>
      </c>
      <c r="B42" t="s">
        <v>206</v>
      </c>
      <c r="C42" t="s">
        <v>68</v>
      </c>
      <c r="D42">
        <v>33000</v>
      </c>
      <c r="E42" t="str">
        <f t="shared" ref="E42:E54" si="2">IF(COUNTIFS(B41:B56, B42, C41:C56, C42, D41:D56, D42)&gt;1, "Duplicate", "Unique")</f>
        <v>Unique</v>
      </c>
      <c r="F42" t="str">
        <f t="shared" ref="F42:F55" si="3">IF(ISERROR(D42), "Error", "OK")</f>
        <v>OK</v>
      </c>
      <c r="G42" s="39">
        <v>2</v>
      </c>
      <c r="H42" s="39" t="s">
        <v>205</v>
      </c>
      <c r="I42" s="39" t="s">
        <v>67</v>
      </c>
      <c r="J42" s="39">
        <v>52000</v>
      </c>
      <c r="K42" s="39"/>
    </row>
    <row r="43" spans="1:11">
      <c r="A43">
        <v>3</v>
      </c>
      <c r="B43" t="s">
        <v>207</v>
      </c>
      <c r="C43" t="s">
        <v>208</v>
      </c>
      <c r="D43">
        <v>25000</v>
      </c>
      <c r="E43" t="str">
        <f t="shared" si="2"/>
        <v>Duplicate</v>
      </c>
      <c r="F43" t="str">
        <f t="shared" si="3"/>
        <v>OK</v>
      </c>
      <c r="G43" s="39">
        <v>3</v>
      </c>
      <c r="H43" s="39" t="s">
        <v>206</v>
      </c>
      <c r="I43" s="39" t="s">
        <v>68</v>
      </c>
      <c r="J43" s="39">
        <v>33000</v>
      </c>
      <c r="K43" s="39"/>
    </row>
    <row r="44" spans="1:11">
      <c r="A44">
        <v>4</v>
      </c>
      <c r="B44" t="s">
        <v>209</v>
      </c>
      <c r="C44" t="s">
        <v>71</v>
      </c>
      <c r="D44">
        <v>4500</v>
      </c>
      <c r="E44" t="str">
        <f t="shared" si="2"/>
        <v>Duplicate</v>
      </c>
      <c r="F44" t="str">
        <f t="shared" si="3"/>
        <v>OK</v>
      </c>
      <c r="G44" s="39">
        <v>4</v>
      </c>
      <c r="H44" s="39" t="s">
        <v>207</v>
      </c>
      <c r="I44" s="39" t="s">
        <v>208</v>
      </c>
      <c r="J44" s="39">
        <v>25000</v>
      </c>
      <c r="K44" s="39"/>
    </row>
    <row r="45" spans="1:11">
      <c r="A45">
        <v>5</v>
      </c>
      <c r="B45" t="s">
        <v>211</v>
      </c>
      <c r="C45" t="s">
        <v>212</v>
      </c>
      <c r="D45">
        <v>36000</v>
      </c>
      <c r="E45" t="str">
        <f t="shared" si="2"/>
        <v>Duplicate</v>
      </c>
      <c r="F45" t="str">
        <f t="shared" si="3"/>
        <v>OK</v>
      </c>
      <c r="G45" s="39">
        <v>5</v>
      </c>
      <c r="H45" s="39" t="s">
        <v>209</v>
      </c>
      <c r="I45" s="39" t="s">
        <v>71</v>
      </c>
      <c r="J45" s="39">
        <v>4500</v>
      </c>
      <c r="K45" s="39"/>
    </row>
    <row r="46" spans="1:11">
      <c r="A46">
        <v>6</v>
      </c>
      <c r="B46" t="s">
        <v>215</v>
      </c>
      <c r="C46" t="s">
        <v>208</v>
      </c>
      <c r="D46">
        <v>44000</v>
      </c>
      <c r="E46" t="str">
        <f t="shared" si="2"/>
        <v>Duplicate</v>
      </c>
      <c r="F46" t="str">
        <f t="shared" si="3"/>
        <v>OK</v>
      </c>
      <c r="G46" s="39">
        <v>6</v>
      </c>
      <c r="H46" s="39" t="s">
        <v>211</v>
      </c>
      <c r="I46" s="39" t="s">
        <v>212</v>
      </c>
      <c r="J46" s="39">
        <v>36000</v>
      </c>
      <c r="K46" s="39"/>
    </row>
    <row r="47" spans="1:11">
      <c r="A47">
        <v>7</v>
      </c>
      <c r="B47" t="s">
        <v>213</v>
      </c>
      <c r="C47" t="s">
        <v>50</v>
      </c>
      <c r="D47">
        <v>11000</v>
      </c>
      <c r="E47" t="str">
        <f t="shared" si="2"/>
        <v>Unique</v>
      </c>
      <c r="F47" t="str">
        <f t="shared" si="3"/>
        <v>OK</v>
      </c>
      <c r="G47" s="39">
        <v>7</v>
      </c>
      <c r="H47" s="39" t="s">
        <v>215</v>
      </c>
      <c r="I47" s="39" t="s">
        <v>208</v>
      </c>
      <c r="J47" s="39">
        <v>44000</v>
      </c>
      <c r="K47" s="39"/>
    </row>
    <row r="48" spans="1:11">
      <c r="A48">
        <v>8</v>
      </c>
      <c r="B48" t="s">
        <v>205</v>
      </c>
      <c r="C48" t="s">
        <v>67</v>
      </c>
      <c r="D48">
        <v>52000</v>
      </c>
      <c r="E48" t="str">
        <f t="shared" si="2"/>
        <v>Duplicate</v>
      </c>
      <c r="F48" t="str">
        <f t="shared" si="3"/>
        <v>OK</v>
      </c>
      <c r="G48" s="39">
        <v>8</v>
      </c>
      <c r="H48" s="39" t="s">
        <v>213</v>
      </c>
      <c r="I48" s="39" t="s">
        <v>50</v>
      </c>
      <c r="J48" s="39">
        <v>11000</v>
      </c>
      <c r="K48" s="39"/>
    </row>
    <row r="49" spans="1:16">
      <c r="A49">
        <v>9</v>
      </c>
      <c r="B49" t="s">
        <v>211</v>
      </c>
      <c r="C49" t="s">
        <v>212</v>
      </c>
      <c r="D49">
        <v>36000</v>
      </c>
      <c r="E49" t="str">
        <f t="shared" si="2"/>
        <v>Unique</v>
      </c>
      <c r="F49" t="str">
        <f t="shared" si="3"/>
        <v>OK</v>
      </c>
      <c r="G49" s="39">
        <v>9</v>
      </c>
      <c r="H49" s="39" t="s">
        <v>207</v>
      </c>
      <c r="I49" s="39" t="s">
        <v>208</v>
      </c>
      <c r="J49" s="39">
        <v>24000</v>
      </c>
      <c r="K49" s="39"/>
    </row>
    <row r="50" spans="1:16">
      <c r="A50">
        <v>10</v>
      </c>
      <c r="B50" t="s">
        <v>207</v>
      </c>
      <c r="C50" t="s">
        <v>208</v>
      </c>
      <c r="D50">
        <v>24000</v>
      </c>
      <c r="E50" t="str">
        <f t="shared" si="2"/>
        <v>Unique</v>
      </c>
      <c r="F50" t="str">
        <f t="shared" si="3"/>
        <v>OK</v>
      </c>
      <c r="G50" s="39">
        <v>10</v>
      </c>
      <c r="H50" s="39" t="s">
        <v>206</v>
      </c>
      <c r="I50" s="39" t="s">
        <v>68</v>
      </c>
      <c r="J50" s="39">
        <v>1000</v>
      </c>
      <c r="K50" s="39"/>
    </row>
    <row r="51" spans="1:16">
      <c r="A51">
        <v>11</v>
      </c>
      <c r="B51" t="s">
        <v>206</v>
      </c>
      <c r="C51" t="s">
        <v>68</v>
      </c>
      <c r="D51">
        <v>1000</v>
      </c>
      <c r="E51" t="str">
        <f t="shared" si="2"/>
        <v>Unique</v>
      </c>
      <c r="F51" t="str">
        <f t="shared" si="3"/>
        <v>OK</v>
      </c>
    </row>
    <row r="52" spans="1:16">
      <c r="A52">
        <v>12</v>
      </c>
      <c r="B52" t="s">
        <v>215</v>
      </c>
      <c r="C52" t="s">
        <v>208</v>
      </c>
      <c r="D52">
        <v>44000</v>
      </c>
      <c r="E52" t="str">
        <f t="shared" si="2"/>
        <v>Unique</v>
      </c>
      <c r="F52" t="str">
        <f t="shared" si="3"/>
        <v>OK</v>
      </c>
    </row>
    <row r="53" spans="1:16">
      <c r="A53">
        <v>13</v>
      </c>
      <c r="B53" t="s">
        <v>205</v>
      </c>
      <c r="C53" t="s">
        <v>67</v>
      </c>
      <c r="D53">
        <v>52000</v>
      </c>
      <c r="E53" t="str">
        <f t="shared" si="2"/>
        <v>Unique</v>
      </c>
      <c r="F53" t="str">
        <f t="shared" si="3"/>
        <v>OK</v>
      </c>
    </row>
    <row r="54" spans="1:16">
      <c r="A54">
        <v>14</v>
      </c>
      <c r="B54" t="s">
        <v>209</v>
      </c>
      <c r="C54" t="s">
        <v>71</v>
      </c>
      <c r="D54">
        <v>4500</v>
      </c>
      <c r="E54" t="str">
        <f t="shared" si="2"/>
        <v>Unique</v>
      </c>
      <c r="F54" t="str">
        <f t="shared" si="3"/>
        <v>OK</v>
      </c>
    </row>
    <row r="55" spans="1:16">
      <c r="A55">
        <v>15</v>
      </c>
      <c r="B55" t="s">
        <v>207</v>
      </c>
      <c r="C55" t="s">
        <v>208</v>
      </c>
      <c r="D55">
        <v>25000</v>
      </c>
      <c r="E55" t="str">
        <f>IF(COUNTIFS(B54:B69, B55, C54:C69, C55, D54:D69, D55)&gt;1, "Duplicate", "Unique")</f>
        <v>Unique</v>
      </c>
      <c r="F55" t="str">
        <f t="shared" si="3"/>
        <v>OK</v>
      </c>
      <c r="I55" s="242" t="s">
        <v>361</v>
      </c>
      <c r="J55" s="178"/>
      <c r="K55" s="178"/>
      <c r="L55" s="178"/>
      <c r="M55" s="178"/>
      <c r="N55" s="178"/>
    </row>
    <row r="57" spans="1:16" ht="30">
      <c r="I57" s="1" t="s">
        <v>49</v>
      </c>
      <c r="J57" s="1" t="s">
        <v>312</v>
      </c>
      <c r="K57" s="1" t="s">
        <v>362</v>
      </c>
      <c r="L57" s="95" t="s">
        <v>368</v>
      </c>
      <c r="M57" s="95" t="s">
        <v>367</v>
      </c>
      <c r="N57" s="95" t="s">
        <v>369</v>
      </c>
      <c r="O57" s="95" t="s">
        <v>370</v>
      </c>
      <c r="P57" s="95" t="s">
        <v>371</v>
      </c>
    </row>
    <row r="58" spans="1:16" ht="15.75">
      <c r="B58" t="s">
        <v>344</v>
      </c>
      <c r="C58" s="240" t="s">
        <v>357</v>
      </c>
      <c r="D58" s="240" t="s">
        <v>358</v>
      </c>
      <c r="E58" s="240" t="s">
        <v>359</v>
      </c>
      <c r="F58" s="240" t="s">
        <v>360</v>
      </c>
      <c r="I58" s="2" t="s">
        <v>67</v>
      </c>
      <c r="J58" s="241">
        <v>52000</v>
      </c>
      <c r="K58" s="2" t="s">
        <v>372</v>
      </c>
      <c r="L58" s="13">
        <f>VALUE(J58)</f>
        <v>52000</v>
      </c>
      <c r="M58" s="13">
        <f>LEN(I58)</f>
        <v>6</v>
      </c>
      <c r="N58" s="13" t="str">
        <f>RIGHT(K58,4)</f>
        <v>1234</v>
      </c>
      <c r="O58" s="13" t="str">
        <f>LEFT(K58,4)</f>
        <v>HDRT</v>
      </c>
      <c r="P58" s="13" t="str">
        <f>MID(K58, FIND(":",K58)+1, 4)</f>
        <v xml:space="preserve"> LAP</v>
      </c>
    </row>
    <row r="59" spans="1:16">
      <c r="I59" s="2" t="s">
        <v>363</v>
      </c>
      <c r="J59" s="241">
        <v>24000</v>
      </c>
      <c r="K59" s="213" t="s">
        <v>373</v>
      </c>
      <c r="L59" s="13">
        <f>VALUE(J59)</f>
        <v>24000</v>
      </c>
      <c r="M59" s="13">
        <f t="shared" ref="M59:M62" si="4">LEN(I59)</f>
        <v>10</v>
      </c>
      <c r="N59" s="13" t="str">
        <f t="shared" ref="N59:N62" si="5">RIGHT(K59,4)</f>
        <v>7890</v>
      </c>
      <c r="O59" s="13" t="str">
        <f t="shared" ref="O59:O62" si="6">LEFT(K59,4)</f>
        <v>MODE</v>
      </c>
      <c r="P59" s="13" t="str">
        <f t="shared" ref="P59:P62" si="7">MID(K59, FIND(":",K59)+1, 4)</f>
        <v>XYZ7</v>
      </c>
    </row>
    <row r="60" spans="1:16">
      <c r="B60" t="s">
        <v>347</v>
      </c>
      <c r="C60" t="str">
        <f>UPPER(B60)</f>
        <v>GAIN</v>
      </c>
      <c r="D60" t="str">
        <f>LOWER(B60)</f>
        <v>gain</v>
      </c>
      <c r="E60" t="str" cm="1">
        <f t="array" ref="E60:E75">TRIM(B60:B75)</f>
        <v>GaIN</v>
      </c>
      <c r="F60" t="str">
        <f>PROPER(E60)</f>
        <v>Gain</v>
      </c>
      <c r="I60" s="2" t="s">
        <v>364</v>
      </c>
      <c r="J60" s="241">
        <v>4500</v>
      </c>
      <c r="K60" s="213" t="s">
        <v>375</v>
      </c>
      <c r="L60" s="13">
        <f t="shared" ref="L60:L62" si="8">VALUE(J60)</f>
        <v>4500</v>
      </c>
      <c r="M60" s="13">
        <f t="shared" si="4"/>
        <v>10</v>
      </c>
      <c r="N60" s="13" t="str">
        <f t="shared" si="5"/>
        <v>O456</v>
      </c>
      <c r="O60" s="13" t="str">
        <f t="shared" si="6"/>
        <v>CODE</v>
      </c>
      <c r="P60" s="13" t="str">
        <f t="shared" si="7"/>
        <v>HPO4</v>
      </c>
    </row>
    <row r="61" spans="1:16">
      <c r="B61" t="s">
        <v>345</v>
      </c>
      <c r="C61" t="str">
        <f t="shared" ref="C61:C75" si="9">UPPER(B61)</f>
        <v xml:space="preserve">      BEAT</v>
      </c>
      <c r="D61" t="str">
        <f t="shared" ref="D61:D75" si="10">LOWER(B61)</f>
        <v xml:space="preserve">      beat</v>
      </c>
      <c r="E61" t="str">
        <v>beat</v>
      </c>
      <c r="F61" t="str">
        <f t="shared" ref="F61:F75" si="11">PROPER(E61)</f>
        <v>Beat</v>
      </c>
      <c r="I61" s="2" t="s">
        <v>365</v>
      </c>
      <c r="J61" s="241">
        <v>11000</v>
      </c>
      <c r="K61" s="213" t="s">
        <v>376</v>
      </c>
      <c r="L61" s="13">
        <f t="shared" si="8"/>
        <v>11000</v>
      </c>
      <c r="M61" s="13">
        <f t="shared" si="4"/>
        <v>11</v>
      </c>
      <c r="N61" s="13" t="str">
        <f t="shared" si="5"/>
        <v>9876</v>
      </c>
      <c r="O61" s="13" t="str">
        <f t="shared" si="6"/>
        <v>REFE</v>
      </c>
      <c r="P61" s="13" t="str">
        <f t="shared" si="7"/>
        <v>SMWU</v>
      </c>
    </row>
    <row r="62" spans="1:16">
      <c r="B62" t="s">
        <v>340</v>
      </c>
      <c r="C62" t="str">
        <f t="shared" si="9"/>
        <v xml:space="preserve"> LAPTOPS  </v>
      </c>
      <c r="D62" t="str">
        <f t="shared" si="10"/>
        <v xml:space="preserve"> laptops  </v>
      </c>
      <c r="E62" t="str">
        <v>Laptops</v>
      </c>
      <c r="F62" t="str">
        <f t="shared" si="11"/>
        <v>Laptops</v>
      </c>
      <c r="I62" s="2" t="s">
        <v>366</v>
      </c>
      <c r="J62" s="241">
        <v>1000</v>
      </c>
      <c r="K62" s="2" t="s">
        <v>374</v>
      </c>
      <c r="L62" s="13">
        <f t="shared" si="8"/>
        <v>1000</v>
      </c>
      <c r="M62" s="13">
        <f t="shared" si="4"/>
        <v>4</v>
      </c>
      <c r="N62" s="13" t="str">
        <f t="shared" si="5"/>
        <v>2345</v>
      </c>
      <c r="O62" s="13" t="str">
        <f t="shared" si="6"/>
        <v>SKUR</v>
      </c>
      <c r="P62" s="13" t="str">
        <f t="shared" si="7"/>
        <v>MSR2</v>
      </c>
    </row>
    <row r="63" spans="1:16">
      <c r="B63" t="s">
        <v>346</v>
      </c>
      <c r="C63" t="str">
        <f t="shared" si="9"/>
        <v>SHEET</v>
      </c>
      <c r="D63" t="str">
        <f t="shared" si="10"/>
        <v>sheet</v>
      </c>
      <c r="E63" t="str">
        <v>sHeet</v>
      </c>
      <c r="F63" t="str">
        <f t="shared" si="11"/>
        <v>Sheet</v>
      </c>
    </row>
    <row r="64" spans="1:16">
      <c r="B64" t="s">
        <v>341</v>
      </c>
      <c r="C64" t="str">
        <f t="shared" si="9"/>
        <v xml:space="preserve">MOUSE  </v>
      </c>
      <c r="D64" t="str">
        <f t="shared" si="10"/>
        <v xml:space="preserve">mouse  </v>
      </c>
      <c r="E64" t="str">
        <v>MOUSE</v>
      </c>
      <c r="F64" t="str">
        <f t="shared" si="11"/>
        <v>Mouse</v>
      </c>
    </row>
    <row r="65" spans="2:16">
      <c r="B65" t="s">
        <v>348</v>
      </c>
      <c r="C65" t="str">
        <f t="shared" si="9"/>
        <v xml:space="preserve">BATCH    </v>
      </c>
      <c r="D65" t="str">
        <f t="shared" si="10"/>
        <v xml:space="preserve">batch    </v>
      </c>
      <c r="E65" t="str">
        <v>batch</v>
      </c>
      <c r="F65" t="str">
        <f t="shared" si="11"/>
        <v>Batch</v>
      </c>
      <c r="I65" s="245" t="s">
        <v>377</v>
      </c>
      <c r="J65" s="246"/>
      <c r="K65" s="246"/>
      <c r="L65" s="246"/>
      <c r="M65" s="247"/>
    </row>
    <row r="66" spans="2:16">
      <c r="B66" t="s">
        <v>350</v>
      </c>
      <c r="C66" t="str">
        <f t="shared" si="9"/>
        <v>CHAIR</v>
      </c>
      <c r="D66" t="str">
        <f t="shared" si="10"/>
        <v>chair</v>
      </c>
      <c r="E66" t="str">
        <v>CHAIR</v>
      </c>
      <c r="F66" t="str">
        <f t="shared" si="11"/>
        <v>Chair</v>
      </c>
    </row>
    <row r="67" spans="2:16">
      <c r="B67" t="s">
        <v>349</v>
      </c>
      <c r="C67" t="str">
        <f t="shared" si="9"/>
        <v xml:space="preserve">TABLE    </v>
      </c>
      <c r="D67" t="str">
        <f t="shared" si="10"/>
        <v xml:space="preserve">table    </v>
      </c>
      <c r="E67" t="str">
        <v>table</v>
      </c>
      <c r="F67" t="str">
        <f t="shared" si="11"/>
        <v>Table</v>
      </c>
      <c r="I67" s="1" t="s">
        <v>378</v>
      </c>
      <c r="J67" s="1" t="s">
        <v>379</v>
      </c>
      <c r="K67" s="1" t="s">
        <v>380</v>
      </c>
      <c r="L67" s="1" t="s">
        <v>381</v>
      </c>
      <c r="M67" s="444" t="s">
        <v>395</v>
      </c>
      <c r="N67" s="445"/>
    </row>
    <row r="68" spans="2:16" ht="30">
      <c r="B68" t="s">
        <v>342</v>
      </c>
      <c r="C68" t="str">
        <f t="shared" si="9"/>
        <v xml:space="preserve">MOUSE   </v>
      </c>
      <c r="D68" t="str">
        <f t="shared" si="10"/>
        <v xml:space="preserve">mouse   </v>
      </c>
      <c r="E68" t="str">
        <v>Mouse</v>
      </c>
      <c r="F68" t="str">
        <f t="shared" si="11"/>
        <v>Mouse</v>
      </c>
      <c r="I68" s="2" t="s">
        <v>382</v>
      </c>
      <c r="J68" s="2" t="s">
        <v>383</v>
      </c>
      <c r="K68" s="243" t="s">
        <v>384</v>
      </c>
      <c r="L68" s="2" t="s">
        <v>208</v>
      </c>
      <c r="M68" s="91">
        <f>SEARCH("@", K68)</f>
        <v>13</v>
      </c>
      <c r="N68" s="91">
        <f>SEARCH("gmail", K68)</f>
        <v>14</v>
      </c>
    </row>
    <row r="69" spans="2:16" ht="30">
      <c r="B69" t="s">
        <v>351</v>
      </c>
      <c r="C69" t="str">
        <f t="shared" si="9"/>
        <v>PRINTER</v>
      </c>
      <c r="D69" t="str">
        <f t="shared" si="10"/>
        <v>printer</v>
      </c>
      <c r="E69" t="str">
        <v>printer</v>
      </c>
      <c r="F69" t="str">
        <f t="shared" si="11"/>
        <v>Printer</v>
      </c>
      <c r="I69" s="2" t="s">
        <v>385</v>
      </c>
      <c r="J69" s="2" t="s">
        <v>386</v>
      </c>
      <c r="K69" s="244" t="s">
        <v>396</v>
      </c>
      <c r="L69" s="2" t="s">
        <v>67</v>
      </c>
      <c r="M69" s="91">
        <f t="shared" ref="M69:M74" si="12">SEARCH("@", K69)</f>
        <v>9</v>
      </c>
      <c r="N69" s="91">
        <f t="shared" ref="N69:N74" si="13">SEARCH("gmail", K69)</f>
        <v>10</v>
      </c>
    </row>
    <row r="70" spans="2:16" ht="30">
      <c r="B70" t="s">
        <v>343</v>
      </c>
      <c r="C70" t="str">
        <f t="shared" si="9"/>
        <v xml:space="preserve">SMARTPHONE  </v>
      </c>
      <c r="D70" t="str">
        <f t="shared" si="10"/>
        <v xml:space="preserve">smartphone  </v>
      </c>
      <c r="E70" t="str">
        <v>Smartphone</v>
      </c>
      <c r="F70" t="str">
        <f t="shared" si="11"/>
        <v>Smartphone</v>
      </c>
      <c r="I70" s="2" t="s">
        <v>387</v>
      </c>
      <c r="J70" s="2" t="s">
        <v>207</v>
      </c>
      <c r="K70" s="244" t="s">
        <v>397</v>
      </c>
      <c r="L70" s="2" t="s">
        <v>50</v>
      </c>
      <c r="M70" s="91">
        <f t="shared" si="12"/>
        <v>13</v>
      </c>
      <c r="N70" s="91">
        <f t="shared" si="13"/>
        <v>14</v>
      </c>
    </row>
    <row r="71" spans="2:16" ht="30">
      <c r="B71" t="s">
        <v>352</v>
      </c>
      <c r="C71" t="str">
        <f t="shared" si="9"/>
        <v xml:space="preserve">CLOTHES    </v>
      </c>
      <c r="D71" t="str">
        <f t="shared" si="10"/>
        <v xml:space="preserve">clothes    </v>
      </c>
      <c r="E71" t="str">
        <v>clothes</v>
      </c>
      <c r="F71" t="str">
        <f t="shared" si="11"/>
        <v>Clothes</v>
      </c>
      <c r="I71" s="2" t="s">
        <v>388</v>
      </c>
      <c r="J71" s="2" t="s">
        <v>211</v>
      </c>
      <c r="K71" s="244" t="s">
        <v>398</v>
      </c>
      <c r="L71" s="2" t="s">
        <v>212</v>
      </c>
      <c r="M71" s="91">
        <f t="shared" si="12"/>
        <v>11</v>
      </c>
      <c r="N71" s="91">
        <f t="shared" si="13"/>
        <v>12</v>
      </c>
    </row>
    <row r="72" spans="2:16" ht="30">
      <c r="B72" t="s">
        <v>353</v>
      </c>
      <c r="C72" t="str">
        <f t="shared" si="9"/>
        <v xml:space="preserve">   HAIRBAND</v>
      </c>
      <c r="D72" t="str">
        <f t="shared" si="10"/>
        <v xml:space="preserve">   hairband</v>
      </c>
      <c r="E72" t="str">
        <v>hairband</v>
      </c>
      <c r="F72" t="str">
        <f t="shared" si="11"/>
        <v>Hairband</v>
      </c>
      <c r="I72" s="2" t="s">
        <v>389</v>
      </c>
      <c r="J72" s="2" t="s">
        <v>213</v>
      </c>
      <c r="K72" s="243" t="s">
        <v>390</v>
      </c>
      <c r="L72" s="2" t="s">
        <v>71</v>
      </c>
      <c r="M72" s="91">
        <f t="shared" si="12"/>
        <v>10</v>
      </c>
      <c r="N72" s="91">
        <f t="shared" si="13"/>
        <v>11</v>
      </c>
    </row>
    <row r="73" spans="2:16" ht="30">
      <c r="B73" t="s">
        <v>354</v>
      </c>
      <c r="C73" t="str">
        <f t="shared" si="9"/>
        <v xml:space="preserve">    HEADPHONES</v>
      </c>
      <c r="D73" t="str">
        <f t="shared" si="10"/>
        <v xml:space="preserve">    headphones</v>
      </c>
      <c r="E73" t="str">
        <v>heADphOnEs</v>
      </c>
      <c r="F73" t="str">
        <f t="shared" si="11"/>
        <v>Headphones</v>
      </c>
      <c r="I73" s="2" t="s">
        <v>391</v>
      </c>
      <c r="J73" s="2" t="s">
        <v>209</v>
      </c>
      <c r="K73" s="244" t="s">
        <v>399</v>
      </c>
      <c r="L73" s="2" t="s">
        <v>208</v>
      </c>
      <c r="M73" s="91">
        <f t="shared" si="12"/>
        <v>12</v>
      </c>
      <c r="N73" s="91">
        <f t="shared" si="13"/>
        <v>13</v>
      </c>
    </row>
    <row r="74" spans="2:16">
      <c r="B74" t="s">
        <v>355</v>
      </c>
      <c r="C74" t="str">
        <f t="shared" si="9"/>
        <v xml:space="preserve"> SMARTWATCH</v>
      </c>
      <c r="D74" t="str">
        <f t="shared" si="10"/>
        <v xml:space="preserve"> smartwatch</v>
      </c>
      <c r="E74" t="str">
        <v>smartwatch</v>
      </c>
      <c r="F74" t="str">
        <f t="shared" si="11"/>
        <v>Smartwatch</v>
      </c>
      <c r="I74" s="2" t="s">
        <v>392</v>
      </c>
      <c r="J74" s="2" t="s">
        <v>393</v>
      </c>
      <c r="K74" s="244" t="s">
        <v>400</v>
      </c>
      <c r="L74" s="2" t="s">
        <v>67</v>
      </c>
      <c r="M74" s="91">
        <f t="shared" si="12"/>
        <v>8</v>
      </c>
      <c r="N74" s="91">
        <f t="shared" si="13"/>
        <v>9</v>
      </c>
    </row>
    <row r="75" spans="2:16">
      <c r="B75" t="s">
        <v>356</v>
      </c>
      <c r="C75" t="str">
        <f t="shared" si="9"/>
        <v xml:space="preserve">TABLET     </v>
      </c>
      <c r="D75" t="str">
        <f t="shared" si="10"/>
        <v xml:space="preserve">tablet     </v>
      </c>
      <c r="E75" t="str">
        <v>Tablet</v>
      </c>
      <c r="F75" t="str">
        <f t="shared" si="11"/>
        <v>Tablet</v>
      </c>
    </row>
    <row r="78" spans="2:16">
      <c r="C78" s="248" t="s">
        <v>401</v>
      </c>
      <c r="D78" s="98"/>
      <c r="E78" s="98"/>
      <c r="F78" s="98"/>
      <c r="G78" s="13"/>
      <c r="K78" s="249" t="s">
        <v>404</v>
      </c>
      <c r="L78" s="250"/>
      <c r="M78" s="250"/>
      <c r="N78" s="250"/>
    </row>
    <row r="80" spans="2:16" ht="30">
      <c r="C80" s="1" t="s">
        <v>378</v>
      </c>
      <c r="D80" s="1" t="s">
        <v>379</v>
      </c>
      <c r="E80" s="1" t="s">
        <v>380</v>
      </c>
      <c r="F80" s="1" t="s">
        <v>381</v>
      </c>
      <c r="G80" s="196" t="s">
        <v>402</v>
      </c>
      <c r="H80" s="196" t="s">
        <v>403</v>
      </c>
      <c r="K80" s="1" t="s">
        <v>378</v>
      </c>
      <c r="L80" s="1" t="s">
        <v>379</v>
      </c>
      <c r="M80" s="1" t="s">
        <v>380</v>
      </c>
      <c r="N80" s="1" t="s">
        <v>381</v>
      </c>
      <c r="O80" s="27" t="s">
        <v>394</v>
      </c>
      <c r="P80" s="27" t="s">
        <v>405</v>
      </c>
    </row>
    <row r="81" spans="2:16" ht="30">
      <c r="C81" s="2" t="s">
        <v>382</v>
      </c>
      <c r="D81" s="2" t="s">
        <v>383</v>
      </c>
      <c r="E81" s="243" t="s">
        <v>384</v>
      </c>
      <c r="F81" s="2" t="s">
        <v>208</v>
      </c>
      <c r="G81" s="19">
        <f>FIND("@", E81)</f>
        <v>13</v>
      </c>
      <c r="H81" s="19">
        <f>FIND(".", E81)</f>
        <v>6</v>
      </c>
      <c r="K81" s="2" t="s">
        <v>382</v>
      </c>
      <c r="L81" s="2" t="s">
        <v>383</v>
      </c>
      <c r="M81" s="243" t="s">
        <v>384</v>
      </c>
      <c r="N81" s="2" t="s">
        <v>208</v>
      </c>
      <c r="O81" s="251">
        <f>SEARCH("Gmail",M81)</f>
        <v>14</v>
      </c>
      <c r="P81" s="251" t="e">
        <f>FIND("Gmail",M81)</f>
        <v>#VALUE!</v>
      </c>
    </row>
    <row r="82" spans="2:16" ht="30">
      <c r="C82" s="2" t="s">
        <v>385</v>
      </c>
      <c r="D82" s="2" t="s">
        <v>386</v>
      </c>
      <c r="E82" s="244" t="s">
        <v>396</v>
      </c>
      <c r="F82" s="2" t="s">
        <v>67</v>
      </c>
      <c r="G82" s="19">
        <f t="shared" ref="G82:G87" si="14">FIND("@", E82)</f>
        <v>9</v>
      </c>
      <c r="H82" s="19">
        <f t="shared" ref="H82:H87" si="15">FIND(".", E82)</f>
        <v>15</v>
      </c>
      <c r="K82" s="2" t="s">
        <v>385</v>
      </c>
      <c r="L82" s="2" t="s">
        <v>386</v>
      </c>
      <c r="M82" s="244" t="s">
        <v>396</v>
      </c>
      <c r="N82" s="2" t="s">
        <v>67</v>
      </c>
    </row>
    <row r="83" spans="2:16" ht="45">
      <c r="C83" s="2" t="s">
        <v>387</v>
      </c>
      <c r="D83" s="2" t="s">
        <v>207</v>
      </c>
      <c r="E83" s="244" t="s">
        <v>397</v>
      </c>
      <c r="F83" s="2" t="s">
        <v>50</v>
      </c>
      <c r="G83" s="19">
        <f t="shared" si="14"/>
        <v>13</v>
      </c>
      <c r="H83" s="19">
        <f t="shared" si="15"/>
        <v>6</v>
      </c>
      <c r="K83" s="2" t="s">
        <v>387</v>
      </c>
      <c r="L83" s="2" t="s">
        <v>207</v>
      </c>
      <c r="M83" s="244" t="s">
        <v>397</v>
      </c>
      <c r="N83" s="2" t="s">
        <v>50</v>
      </c>
      <c r="O83" s="28" t="s">
        <v>406</v>
      </c>
      <c r="P83" s="252" t="s">
        <v>407</v>
      </c>
    </row>
    <row r="84" spans="2:16" ht="30">
      <c r="C84" s="2" t="s">
        <v>388</v>
      </c>
      <c r="D84" s="2" t="s">
        <v>211</v>
      </c>
      <c r="E84" s="244" t="s">
        <v>398</v>
      </c>
      <c r="F84" s="2" t="s">
        <v>212</v>
      </c>
      <c r="G84" s="19">
        <f t="shared" si="14"/>
        <v>11</v>
      </c>
      <c r="H84" s="19">
        <f t="shared" si="15"/>
        <v>17</v>
      </c>
      <c r="K84" s="2" t="s">
        <v>388</v>
      </c>
      <c r="L84" s="2" t="s">
        <v>211</v>
      </c>
      <c r="M84" s="244" t="s">
        <v>398</v>
      </c>
      <c r="N84" s="2" t="s">
        <v>212</v>
      </c>
      <c r="O84" s="28" t="s">
        <v>415</v>
      </c>
      <c r="P84" s="28" t="s">
        <v>416</v>
      </c>
    </row>
    <row r="85" spans="2:16" ht="30">
      <c r="C85" s="2" t="s">
        <v>389</v>
      </c>
      <c r="D85" s="2" t="s">
        <v>213</v>
      </c>
      <c r="E85" s="243" t="s">
        <v>390</v>
      </c>
      <c r="F85" s="2" t="s">
        <v>71</v>
      </c>
      <c r="G85" s="19">
        <f t="shared" si="14"/>
        <v>10</v>
      </c>
      <c r="H85" s="19">
        <f t="shared" si="15"/>
        <v>16</v>
      </c>
      <c r="K85" s="2" t="s">
        <v>389</v>
      </c>
      <c r="L85" s="2" t="s">
        <v>213</v>
      </c>
      <c r="M85" s="243" t="s">
        <v>390</v>
      </c>
      <c r="N85" s="2" t="s">
        <v>71</v>
      </c>
    </row>
    <row r="86" spans="2:16" ht="30">
      <c r="C86" s="2" t="s">
        <v>391</v>
      </c>
      <c r="D86" s="2" t="s">
        <v>209</v>
      </c>
      <c r="E86" s="244" t="s">
        <v>399</v>
      </c>
      <c r="F86" s="2" t="s">
        <v>208</v>
      </c>
      <c r="G86" s="19">
        <f t="shared" si="14"/>
        <v>12</v>
      </c>
      <c r="H86" s="19">
        <f t="shared" si="15"/>
        <v>6</v>
      </c>
      <c r="K86" s="2" t="s">
        <v>391</v>
      </c>
      <c r="L86" s="2" t="s">
        <v>209</v>
      </c>
      <c r="M86" s="244" t="s">
        <v>399</v>
      </c>
      <c r="N86" s="2" t="s">
        <v>208</v>
      </c>
    </row>
    <row r="87" spans="2:16" ht="30">
      <c r="C87" s="2" t="s">
        <v>392</v>
      </c>
      <c r="D87" s="2" t="s">
        <v>393</v>
      </c>
      <c r="E87" s="244" t="s">
        <v>400</v>
      </c>
      <c r="F87" s="2" t="s">
        <v>67</v>
      </c>
      <c r="G87" s="19">
        <f t="shared" si="14"/>
        <v>8</v>
      </c>
      <c r="H87" s="19">
        <f t="shared" si="15"/>
        <v>14</v>
      </c>
      <c r="K87" s="2" t="s">
        <v>392</v>
      </c>
      <c r="L87" s="2" t="s">
        <v>393</v>
      </c>
      <c r="M87" s="244" t="s">
        <v>400</v>
      </c>
      <c r="N87" s="2" t="s">
        <v>67</v>
      </c>
    </row>
    <row r="89" spans="2:16">
      <c r="B89" s="253" t="s">
        <v>408</v>
      </c>
      <c r="C89" s="254"/>
      <c r="D89" s="254"/>
      <c r="E89" s="254"/>
      <c r="F89" s="254"/>
      <c r="H89" s="257" t="s">
        <v>410</v>
      </c>
      <c r="I89" s="258"/>
      <c r="J89" s="258"/>
      <c r="K89" s="258"/>
      <c r="L89" s="259"/>
    </row>
    <row r="91" spans="2:16">
      <c r="B91" s="1" t="s">
        <v>378</v>
      </c>
      <c r="C91" s="1" t="s">
        <v>379</v>
      </c>
      <c r="D91" s="1" t="s">
        <v>380</v>
      </c>
      <c r="E91" s="1" t="s">
        <v>381</v>
      </c>
      <c r="F91" s="255" t="s">
        <v>409</v>
      </c>
      <c r="H91" s="1" t="s">
        <v>411</v>
      </c>
      <c r="I91" s="22" t="s">
        <v>414</v>
      </c>
    </row>
    <row r="92" spans="2:16" ht="30">
      <c r="B92" s="2" t="s">
        <v>382</v>
      </c>
      <c r="C92" s="2" t="s">
        <v>383</v>
      </c>
      <c r="D92" s="243" t="s">
        <v>384</v>
      </c>
      <c r="E92" s="2" t="s">
        <v>208</v>
      </c>
      <c r="F92" s="256" t="str">
        <f>MID(D92, SEARCH("@", D92) + 1, SEARCH(".", D92, SEARCH("@", D92)) - SEARCH("@", D92) - 1)</f>
        <v>gmail</v>
      </c>
      <c r="H92" s="23" t="s">
        <v>412</v>
      </c>
      <c r="I92" s="22" t="s">
        <v>413</v>
      </c>
    </row>
    <row r="93" spans="2:16" ht="30">
      <c r="B93" s="2" t="s">
        <v>385</v>
      </c>
      <c r="C93" s="2" t="s">
        <v>386</v>
      </c>
      <c r="D93" s="244" t="s">
        <v>396</v>
      </c>
      <c r="E93" s="2" t="s">
        <v>67</v>
      </c>
      <c r="F93" s="256" t="str">
        <f t="shared" ref="F93:F98" si="16">MID(D93, SEARCH("@", D93) + 1, SEARCH(".", D93, SEARCH("@", D93)) - SEARCH("@", D93) - 1)</f>
        <v>gmail</v>
      </c>
    </row>
    <row r="94" spans="2:16" ht="30">
      <c r="B94" s="2" t="s">
        <v>387</v>
      </c>
      <c r="C94" s="2" t="s">
        <v>207</v>
      </c>
      <c r="D94" s="244" t="s">
        <v>397</v>
      </c>
      <c r="E94" s="2" t="s">
        <v>50</v>
      </c>
      <c r="F94" s="256" t="str">
        <f t="shared" si="16"/>
        <v>gmail</v>
      </c>
    </row>
    <row r="95" spans="2:16" ht="30">
      <c r="B95" s="2" t="s">
        <v>388</v>
      </c>
      <c r="C95" s="2" t="s">
        <v>211</v>
      </c>
      <c r="D95" s="244" t="s">
        <v>398</v>
      </c>
      <c r="E95" s="2" t="s">
        <v>212</v>
      </c>
      <c r="F95" s="256" t="str">
        <f t="shared" si="16"/>
        <v>gmail</v>
      </c>
    </row>
    <row r="96" spans="2:16" ht="30">
      <c r="B96" s="2" t="s">
        <v>389</v>
      </c>
      <c r="C96" s="2" t="s">
        <v>213</v>
      </c>
      <c r="D96" s="243" t="s">
        <v>390</v>
      </c>
      <c r="E96" s="2" t="s">
        <v>71</v>
      </c>
      <c r="F96" s="256" t="str">
        <f t="shared" si="16"/>
        <v>gmail</v>
      </c>
    </row>
    <row r="97" spans="2:13" ht="30">
      <c r="B97" s="2" t="s">
        <v>391</v>
      </c>
      <c r="C97" s="2" t="s">
        <v>209</v>
      </c>
      <c r="D97" s="244" t="s">
        <v>399</v>
      </c>
      <c r="E97" s="2" t="s">
        <v>208</v>
      </c>
      <c r="F97" s="256" t="str">
        <f t="shared" si="16"/>
        <v>gmail</v>
      </c>
    </row>
    <row r="98" spans="2:13" ht="30">
      <c r="B98" s="2" t="s">
        <v>392</v>
      </c>
      <c r="C98" s="2" t="s">
        <v>393</v>
      </c>
      <c r="D98" s="244" t="s">
        <v>400</v>
      </c>
      <c r="E98" s="2" t="s">
        <v>67</v>
      </c>
      <c r="F98" s="256" t="str">
        <f t="shared" si="16"/>
        <v>gmail</v>
      </c>
    </row>
    <row r="99" spans="2:13">
      <c r="J99" s="266" t="s">
        <v>424</v>
      </c>
      <c r="K99" s="267"/>
      <c r="L99" s="267"/>
      <c r="M99" s="268"/>
    </row>
    <row r="100" spans="2:13">
      <c r="B100" s="260" t="s">
        <v>419</v>
      </c>
      <c r="C100" s="261"/>
      <c r="D100" s="261"/>
      <c r="E100" s="261"/>
      <c r="F100" s="261"/>
      <c r="G100" s="261"/>
      <c r="H100" s="261"/>
    </row>
    <row r="101" spans="2:13">
      <c r="J101" s="23" t="s">
        <v>425</v>
      </c>
      <c r="K101" s="23" t="s">
        <v>426</v>
      </c>
      <c r="L101" s="23" t="s">
        <v>427</v>
      </c>
    </row>
    <row r="102" spans="2:13">
      <c r="B102" s="263" t="s">
        <v>417</v>
      </c>
      <c r="C102" s="263" t="s">
        <v>418</v>
      </c>
      <c r="D102" t="s">
        <v>421</v>
      </c>
      <c r="E102" t="s">
        <v>422</v>
      </c>
      <c r="F102" t="s">
        <v>423</v>
      </c>
      <c r="J102" t="s">
        <v>428</v>
      </c>
      <c r="K102" s="269" t="s">
        <v>420</v>
      </c>
      <c r="L102">
        <v>20</v>
      </c>
    </row>
    <row r="103" spans="2:13">
      <c r="B103" s="264">
        <v>10</v>
      </c>
      <c r="C103" s="265" t="e">
        <f>A1*2</f>
        <v>#VALUE!</v>
      </c>
      <c r="D103" s="210"/>
      <c r="E103" s="105"/>
      <c r="F103" s="19"/>
      <c r="J103" t="s">
        <v>429</v>
      </c>
      <c r="K103" t="s">
        <v>432</v>
      </c>
      <c r="L103" s="269" t="s">
        <v>420</v>
      </c>
    </row>
    <row r="104" spans="2:13">
      <c r="B104" s="262"/>
      <c r="C104" s="264">
        <v>30</v>
      </c>
      <c r="J104" s="269" t="s">
        <v>420</v>
      </c>
      <c r="K104" t="s">
        <v>433</v>
      </c>
      <c r="L104">
        <v>14</v>
      </c>
    </row>
    <row r="105" spans="2:13">
      <c r="B105" s="264">
        <v>50</v>
      </c>
      <c r="C105" s="262"/>
      <c r="J105" t="s">
        <v>430</v>
      </c>
      <c r="K105" s="269" t="s">
        <v>420</v>
      </c>
      <c r="L105">
        <v>12</v>
      </c>
    </row>
    <row r="106" spans="2:13">
      <c r="B106" s="265" t="e">
        <f>A1+A3</f>
        <v>#VALUE!</v>
      </c>
      <c r="C106" s="264">
        <v>40</v>
      </c>
      <c r="J106" s="269" t="s">
        <v>420</v>
      </c>
      <c r="K106" t="s">
        <v>434</v>
      </c>
      <c r="L106">
        <v>23</v>
      </c>
    </row>
    <row r="107" spans="2:13">
      <c r="B107" s="19">
        <f>6+5</f>
        <v>11</v>
      </c>
      <c r="C107" s="105" t="s">
        <v>332</v>
      </c>
      <c r="J107" t="s">
        <v>431</v>
      </c>
      <c r="K107" t="s">
        <v>435</v>
      </c>
      <c r="L107" s="269" t="s">
        <v>420</v>
      </c>
    </row>
    <row r="110" spans="2:13">
      <c r="B110" s="270" t="s">
        <v>436</v>
      </c>
      <c r="C110" s="271"/>
      <c r="D110" s="271"/>
      <c r="E110" s="271"/>
      <c r="H110" s="273" t="s">
        <v>439</v>
      </c>
      <c r="I110" s="73"/>
      <c r="J110" s="73"/>
      <c r="K110" s="73"/>
      <c r="L110" s="6"/>
    </row>
    <row r="112" spans="2:13">
      <c r="B112" s="23" t="s">
        <v>202</v>
      </c>
      <c r="C112" s="23" t="s">
        <v>72</v>
      </c>
      <c r="D112" s="23" t="s">
        <v>168</v>
      </c>
      <c r="E112" s="23" t="s">
        <v>438</v>
      </c>
      <c r="H112" s="23" t="s">
        <v>202</v>
      </c>
      <c r="I112" s="23" t="s">
        <v>72</v>
      </c>
      <c r="J112" s="23" t="s">
        <v>168</v>
      </c>
      <c r="K112" s="23" t="s">
        <v>438</v>
      </c>
    </row>
    <row r="113" spans="2:14">
      <c r="B113" t="s">
        <v>68</v>
      </c>
      <c r="C113">
        <v>2500</v>
      </c>
      <c r="D113">
        <v>4</v>
      </c>
      <c r="E113" s="272">
        <f>C113*D113</f>
        <v>10000</v>
      </c>
      <c r="H113" t="s">
        <v>68</v>
      </c>
      <c r="I113">
        <v>2500</v>
      </c>
      <c r="J113">
        <v>4</v>
      </c>
      <c r="K113" s="274">
        <f>I113*J113</f>
        <v>10000</v>
      </c>
    </row>
    <row r="114" spans="2:14">
      <c r="B114" t="s">
        <v>225</v>
      </c>
      <c r="C114">
        <v>42000</v>
      </c>
      <c r="D114">
        <v>2</v>
      </c>
      <c r="E114" s="272">
        <f t="shared" ref="E114:E117" si="17">C114*D114</f>
        <v>84000</v>
      </c>
      <c r="H114" t="s">
        <v>225</v>
      </c>
      <c r="I114">
        <v>42000</v>
      </c>
      <c r="J114">
        <v>2</v>
      </c>
      <c r="K114" s="247">
        <f t="shared" ref="K114:K117" si="18">I114*J114</f>
        <v>84000</v>
      </c>
    </row>
    <row r="115" spans="2:14">
      <c r="B115" t="s">
        <v>58</v>
      </c>
      <c r="C115">
        <v>5700</v>
      </c>
      <c r="D115">
        <v>5</v>
      </c>
      <c r="E115" s="272">
        <f t="shared" si="17"/>
        <v>28500</v>
      </c>
      <c r="H115" t="s">
        <v>58</v>
      </c>
      <c r="I115">
        <v>5700</v>
      </c>
      <c r="J115">
        <v>5</v>
      </c>
      <c r="K115" s="274">
        <f t="shared" si="18"/>
        <v>28500</v>
      </c>
    </row>
    <row r="116" spans="2:14">
      <c r="B116" t="s">
        <v>437</v>
      </c>
      <c r="C116">
        <v>50000</v>
      </c>
      <c r="D116">
        <v>3</v>
      </c>
      <c r="E116" s="272">
        <f t="shared" si="17"/>
        <v>150000</v>
      </c>
      <c r="H116" t="s">
        <v>437</v>
      </c>
      <c r="I116">
        <v>50000</v>
      </c>
      <c r="J116">
        <v>3</v>
      </c>
      <c r="K116" s="247">
        <f t="shared" si="18"/>
        <v>150000</v>
      </c>
    </row>
    <row r="117" spans="2:14">
      <c r="B117" t="s">
        <v>212</v>
      </c>
      <c r="C117">
        <v>43500</v>
      </c>
      <c r="D117">
        <v>2</v>
      </c>
      <c r="E117" s="272">
        <f t="shared" si="17"/>
        <v>87000</v>
      </c>
      <c r="H117" t="s">
        <v>212</v>
      </c>
      <c r="I117">
        <v>43500</v>
      </c>
      <c r="J117">
        <v>2</v>
      </c>
      <c r="K117" s="247">
        <f t="shared" si="18"/>
        <v>87000</v>
      </c>
    </row>
    <row r="119" spans="2:14">
      <c r="B119" s="275" t="s">
        <v>440</v>
      </c>
      <c r="C119" s="276"/>
      <c r="D119" s="276"/>
      <c r="E119" s="276"/>
      <c r="F119" s="276"/>
    </row>
    <row r="121" spans="2:14">
      <c r="B121" s="22" t="s">
        <v>444</v>
      </c>
    </row>
    <row r="122" spans="2:14">
      <c r="B122" t="s">
        <v>441</v>
      </c>
    </row>
    <row r="123" spans="2:14">
      <c r="B123" t="s">
        <v>442</v>
      </c>
    </row>
    <row r="124" spans="2:14">
      <c r="B124" t="s">
        <v>443</v>
      </c>
    </row>
    <row r="125" spans="2:14">
      <c r="B125" t="s">
        <v>443</v>
      </c>
    </row>
    <row r="126" spans="2:14">
      <c r="J126" s="282" t="s">
        <v>458</v>
      </c>
      <c r="K126" s="283"/>
      <c r="L126" s="283"/>
      <c r="M126" s="283"/>
      <c r="N126" s="283"/>
    </row>
    <row r="128" spans="2:14">
      <c r="B128" s="277" t="s">
        <v>445</v>
      </c>
      <c r="C128" s="278"/>
      <c r="D128" s="278"/>
      <c r="E128" s="278"/>
      <c r="F128" s="278"/>
      <c r="G128" s="278"/>
      <c r="I128" s="23" t="s">
        <v>472</v>
      </c>
      <c r="J128" s="226" t="s">
        <v>471</v>
      </c>
      <c r="K128" s="23" t="s">
        <v>463</v>
      </c>
      <c r="L128" s="23"/>
    </row>
    <row r="129" spans="1:11">
      <c r="I129" t="s">
        <v>383</v>
      </c>
      <c r="J129" s="284" t="s">
        <v>288</v>
      </c>
      <c r="K129" t="s">
        <v>448</v>
      </c>
    </row>
    <row r="130" spans="1:11">
      <c r="B130" s="1"/>
      <c r="C130" s="1"/>
      <c r="D130" s="1"/>
      <c r="I130" t="s">
        <v>386</v>
      </c>
      <c r="J130" s="284" t="s">
        <v>449</v>
      </c>
      <c r="K130" t="s">
        <v>450</v>
      </c>
    </row>
    <row r="131" spans="1:11">
      <c r="B131" s="280" t="s">
        <v>446</v>
      </c>
      <c r="C131" s="280" t="s">
        <v>447</v>
      </c>
      <c r="D131" s="281" t="s">
        <v>379</v>
      </c>
      <c r="I131" t="s">
        <v>459</v>
      </c>
      <c r="J131" s="284" t="s">
        <v>465</v>
      </c>
      <c r="K131" t="s">
        <v>466</v>
      </c>
    </row>
    <row r="132" spans="1:11">
      <c r="B132" s="2" t="s">
        <v>288</v>
      </c>
      <c r="C132" s="2" t="s">
        <v>448</v>
      </c>
      <c r="D132" s="279" t="str">
        <f>B132&amp;" "&amp;C132</f>
        <v>Aditi Sharma</v>
      </c>
      <c r="I132" t="s">
        <v>460</v>
      </c>
      <c r="J132" s="284" t="s">
        <v>429</v>
      </c>
      <c r="K132" t="s">
        <v>467</v>
      </c>
    </row>
    <row r="133" spans="1:11">
      <c r="B133" s="2" t="s">
        <v>449</v>
      </c>
      <c r="C133" s="2" t="s">
        <v>450</v>
      </c>
      <c r="D133" s="279" t="str">
        <f t="shared" ref="D133:D137" si="19">B133&amp;" "&amp;C133</f>
        <v>Rahul Mehra</v>
      </c>
      <c r="I133" t="s">
        <v>461</v>
      </c>
      <c r="J133" s="284" t="s">
        <v>468</v>
      </c>
      <c r="K133" t="s">
        <v>455</v>
      </c>
    </row>
    <row r="134" spans="1:11">
      <c r="B134" s="2" t="s">
        <v>290</v>
      </c>
      <c r="C134" s="2" t="s">
        <v>451</v>
      </c>
      <c r="D134" s="279" t="str">
        <f t="shared" si="19"/>
        <v>Sneha Kapoor</v>
      </c>
      <c r="I134" t="s">
        <v>462</v>
      </c>
      <c r="J134" s="284" t="s">
        <v>469</v>
      </c>
      <c r="K134" t="s">
        <v>470</v>
      </c>
    </row>
    <row r="135" spans="1:11">
      <c r="B135" s="2" t="s">
        <v>452</v>
      </c>
      <c r="C135" s="2" t="s">
        <v>453</v>
      </c>
      <c r="D135" s="279" t="str">
        <f t="shared" si="19"/>
        <v>Karan Joshi</v>
      </c>
    </row>
    <row r="136" spans="1:11">
      <c r="B136" s="2" t="s">
        <v>454</v>
      </c>
      <c r="C136" s="2" t="s">
        <v>455</v>
      </c>
      <c r="D136" s="279" t="str">
        <f t="shared" si="19"/>
        <v>Priya Verma</v>
      </c>
    </row>
    <row r="137" spans="1:11">
      <c r="B137" s="2" t="s">
        <v>456</v>
      </c>
      <c r="C137" s="2" t="s">
        <v>457</v>
      </c>
      <c r="D137" s="279" t="str">
        <f t="shared" si="19"/>
        <v>Tanya Mishra</v>
      </c>
    </row>
    <row r="139" spans="1:11" ht="15.75">
      <c r="B139" s="285" t="s">
        <v>473</v>
      </c>
      <c r="C139" s="286"/>
      <c r="D139" s="286"/>
      <c r="E139" s="286"/>
      <c r="G139" s="287" t="s">
        <v>482</v>
      </c>
      <c r="H139" s="288"/>
      <c r="I139" s="288"/>
      <c r="J139" s="288"/>
      <c r="K139" s="289"/>
    </row>
    <row r="141" spans="1:11">
      <c r="A141" s="23" t="s">
        <v>476</v>
      </c>
      <c r="B141" s="1" t="s">
        <v>474</v>
      </c>
      <c r="C141" t="s">
        <v>475</v>
      </c>
    </row>
    <row r="142" spans="1:11">
      <c r="A142" t="s">
        <v>464</v>
      </c>
      <c r="B142" s="2" t="s">
        <v>288</v>
      </c>
      <c r="C142" t="s">
        <v>448</v>
      </c>
    </row>
    <row r="143" spans="1:11">
      <c r="A143" t="s">
        <v>477</v>
      </c>
      <c r="B143" s="2" t="s">
        <v>449</v>
      </c>
      <c r="C143" t="s">
        <v>450</v>
      </c>
    </row>
    <row r="144" spans="1:11">
      <c r="A144" t="s">
        <v>478</v>
      </c>
      <c r="B144" s="2" t="s">
        <v>290</v>
      </c>
      <c r="C144" t="s">
        <v>451</v>
      </c>
    </row>
    <row r="145" spans="1:11">
      <c r="A145" t="s">
        <v>479</v>
      </c>
      <c r="B145" s="2" t="s">
        <v>452</v>
      </c>
      <c r="C145" t="s">
        <v>466</v>
      </c>
    </row>
    <row r="146" spans="1:11">
      <c r="A146" t="s">
        <v>480</v>
      </c>
      <c r="B146" s="2" t="s">
        <v>454</v>
      </c>
      <c r="C146" t="s">
        <v>455</v>
      </c>
    </row>
    <row r="147" spans="1:11">
      <c r="A147" t="s">
        <v>481</v>
      </c>
      <c r="B147" s="2" t="s">
        <v>456</v>
      </c>
      <c r="C147" t="s">
        <v>457</v>
      </c>
    </row>
    <row r="149" spans="1:11">
      <c r="H149" s="290" t="s">
        <v>490</v>
      </c>
      <c r="I149" s="291"/>
      <c r="J149" s="291"/>
      <c r="K149" s="291"/>
    </row>
    <row r="150" spans="1:11">
      <c r="A150" s="238" t="s">
        <v>483</v>
      </c>
      <c r="B150" s="94"/>
      <c r="C150" s="94"/>
      <c r="D150" s="94"/>
      <c r="E150" s="94"/>
    </row>
    <row r="151" spans="1:11">
      <c r="H151" s="1" t="s">
        <v>471</v>
      </c>
      <c r="I151" s="1" t="s">
        <v>491</v>
      </c>
    </row>
    <row r="152" spans="1:11">
      <c r="A152" t="s">
        <v>484</v>
      </c>
      <c r="H152" s="2" t="s">
        <v>288</v>
      </c>
      <c r="I152" s="2" t="s">
        <v>448</v>
      </c>
    </row>
    <row r="153" spans="1:11">
      <c r="A153" t="s">
        <v>485</v>
      </c>
      <c r="H153" s="2" t="s">
        <v>449</v>
      </c>
      <c r="I153" s="2" t="s">
        <v>450</v>
      </c>
    </row>
    <row r="154" spans="1:11">
      <c r="A154" t="s">
        <v>486</v>
      </c>
      <c r="H154" s="2" t="s">
        <v>290</v>
      </c>
      <c r="I154" s="2" t="s">
        <v>451</v>
      </c>
    </row>
    <row r="155" spans="1:11">
      <c r="A155" t="s">
        <v>487</v>
      </c>
      <c r="H155" s="2" t="s">
        <v>452</v>
      </c>
      <c r="I155" s="2" t="s">
        <v>453</v>
      </c>
    </row>
    <row r="156" spans="1:11">
      <c r="A156" t="s">
        <v>488</v>
      </c>
      <c r="H156" s="2" t="s">
        <v>454</v>
      </c>
      <c r="I156" s="2" t="s">
        <v>455</v>
      </c>
    </row>
    <row r="157" spans="1:11">
      <c r="A157" t="s">
        <v>489</v>
      </c>
      <c r="H157" s="2" t="s">
        <v>456</v>
      </c>
      <c r="I157" s="2" t="s">
        <v>457</v>
      </c>
    </row>
    <row r="158" spans="1:11">
      <c r="H158" s="2" t="s">
        <v>492</v>
      </c>
      <c r="I158" s="2" t="s">
        <v>467</v>
      </c>
    </row>
    <row r="159" spans="1:11">
      <c r="H159" s="2" t="s">
        <v>493</v>
      </c>
      <c r="I159" s="2" t="s">
        <v>494</v>
      </c>
    </row>
    <row r="160" spans="1:11">
      <c r="H160" s="2" t="s">
        <v>428</v>
      </c>
      <c r="I160" s="2" t="s">
        <v>466</v>
      </c>
    </row>
    <row r="161" spans="1:11">
      <c r="H161" s="2" t="s">
        <v>495</v>
      </c>
      <c r="I161" s="2" t="s">
        <v>496</v>
      </c>
    </row>
    <row r="162" spans="1:11">
      <c r="H162" s="2" t="s">
        <v>497</v>
      </c>
      <c r="I162" s="2" t="s">
        <v>448</v>
      </c>
    </row>
    <row r="163" spans="1:11">
      <c r="H163" s="2"/>
      <c r="I163" s="2"/>
    </row>
    <row r="164" spans="1:11">
      <c r="A164" s="297" t="s">
        <v>498</v>
      </c>
      <c r="B164" s="295"/>
      <c r="C164" s="295"/>
      <c r="D164" s="295"/>
      <c r="E164" s="295"/>
      <c r="G164" s="292" t="s">
        <v>499</v>
      </c>
      <c r="H164" s="293"/>
      <c r="I164" s="293"/>
      <c r="J164" s="294"/>
      <c r="K164" s="294"/>
    </row>
    <row r="165" spans="1:11">
      <c r="H165" s="2"/>
      <c r="I165" s="2"/>
    </row>
    <row r="166" spans="1:11">
      <c r="A166" s="23" t="s">
        <v>471</v>
      </c>
      <c r="B166" s="23" t="s">
        <v>491</v>
      </c>
      <c r="C166" s="295" t="s">
        <v>379</v>
      </c>
      <c r="G166" s="23" t="s">
        <v>471</v>
      </c>
      <c r="H166" s="23" t="s">
        <v>491</v>
      </c>
      <c r="I166" s="294" t="s">
        <v>379</v>
      </c>
    </row>
    <row r="167" spans="1:11">
      <c r="A167" t="s">
        <v>288</v>
      </c>
      <c r="B167" t="s">
        <v>448</v>
      </c>
      <c r="C167" s="296" t="str">
        <f>CONCATENATE(A167,B167)</f>
        <v>AditiSharma</v>
      </c>
      <c r="G167" t="s">
        <v>288</v>
      </c>
      <c r="H167" t="s">
        <v>448</v>
      </c>
      <c r="I167" s="114" t="str">
        <f>G167&amp;" "&amp;H167</f>
        <v>Aditi Sharma</v>
      </c>
    </row>
    <row r="168" spans="1:11">
      <c r="A168" t="s">
        <v>449</v>
      </c>
      <c r="B168" t="s">
        <v>450</v>
      </c>
      <c r="C168" s="296" t="str">
        <f t="shared" ref="C168:C177" si="20">CONCATENATE(A168,B168)</f>
        <v>RahulMehra</v>
      </c>
      <c r="G168" t="s">
        <v>449</v>
      </c>
      <c r="H168" t="s">
        <v>450</v>
      </c>
      <c r="I168" s="114" t="str">
        <f t="shared" ref="I168:I177" si="21">G168&amp;" "&amp;H168</f>
        <v>Rahul Mehra</v>
      </c>
      <c r="J168" t="s">
        <v>60</v>
      </c>
    </row>
    <row r="169" spans="1:11">
      <c r="A169" t="s">
        <v>290</v>
      </c>
      <c r="B169" t="s">
        <v>451</v>
      </c>
      <c r="C169" s="296" t="str">
        <f t="shared" si="20"/>
        <v>SnehaKapoor</v>
      </c>
      <c r="G169" t="s">
        <v>290</v>
      </c>
      <c r="H169" t="s">
        <v>451</v>
      </c>
      <c r="I169" s="114" t="str">
        <f t="shared" si="21"/>
        <v>Sneha Kapoor</v>
      </c>
    </row>
    <row r="170" spans="1:11">
      <c r="A170" t="s">
        <v>452</v>
      </c>
      <c r="B170" t="s">
        <v>453</v>
      </c>
      <c r="C170" s="296" t="str">
        <f t="shared" si="20"/>
        <v>KaranJoshi</v>
      </c>
      <c r="G170" t="s">
        <v>452</v>
      </c>
      <c r="H170" t="s">
        <v>453</v>
      </c>
      <c r="I170" s="114" t="str">
        <f t="shared" si="21"/>
        <v>Karan Joshi</v>
      </c>
    </row>
    <row r="171" spans="1:11">
      <c r="A171" t="s">
        <v>454</v>
      </c>
      <c r="B171" t="s">
        <v>455</v>
      </c>
      <c r="C171" s="296" t="str">
        <f t="shared" si="20"/>
        <v>PriyaVerma</v>
      </c>
      <c r="G171" t="s">
        <v>454</v>
      </c>
      <c r="H171" t="s">
        <v>455</v>
      </c>
      <c r="I171" s="114" t="str">
        <f t="shared" si="21"/>
        <v>Priya Verma</v>
      </c>
    </row>
    <row r="172" spans="1:11">
      <c r="A172" t="s">
        <v>456</v>
      </c>
      <c r="B172" t="s">
        <v>457</v>
      </c>
      <c r="C172" s="296" t="str">
        <f t="shared" si="20"/>
        <v>TanyaMishra</v>
      </c>
      <c r="G172" t="s">
        <v>456</v>
      </c>
      <c r="H172" t="s">
        <v>457</v>
      </c>
      <c r="I172" s="114" t="str">
        <f t="shared" si="21"/>
        <v>Tanya Mishra</v>
      </c>
    </row>
    <row r="173" spans="1:11">
      <c r="A173" t="s">
        <v>492</v>
      </c>
      <c r="B173" t="s">
        <v>467</v>
      </c>
      <c r="C173" s="296" t="str">
        <f t="shared" si="20"/>
        <v>ArjunSingh</v>
      </c>
      <c r="G173" t="s">
        <v>492</v>
      </c>
      <c r="H173" t="s">
        <v>467</v>
      </c>
      <c r="I173" s="114" t="str">
        <f t="shared" si="21"/>
        <v>Arjun Singh</v>
      </c>
    </row>
    <row r="174" spans="1:11">
      <c r="A174" t="s">
        <v>493</v>
      </c>
      <c r="B174" t="s">
        <v>494</v>
      </c>
      <c r="C174" s="296" t="str">
        <f t="shared" si="20"/>
        <v>MeenaPatel</v>
      </c>
      <c r="G174" t="s">
        <v>493</v>
      </c>
      <c r="H174" t="s">
        <v>494</v>
      </c>
      <c r="I174" s="114" t="str">
        <f t="shared" si="21"/>
        <v>Meena Patel</v>
      </c>
    </row>
    <row r="175" spans="1:11">
      <c r="A175" t="s">
        <v>428</v>
      </c>
      <c r="B175" t="s">
        <v>466</v>
      </c>
      <c r="C175" s="296" t="str">
        <f t="shared" si="20"/>
        <v>AnilKumar</v>
      </c>
      <c r="G175" t="s">
        <v>428</v>
      </c>
      <c r="H175" t="s">
        <v>466</v>
      </c>
      <c r="I175" s="114" t="str">
        <f t="shared" si="21"/>
        <v>Anil Kumar</v>
      </c>
    </row>
    <row r="176" spans="1:11">
      <c r="A176" t="s">
        <v>495</v>
      </c>
      <c r="B176" t="s">
        <v>496</v>
      </c>
      <c r="C176" s="296" t="str">
        <f t="shared" si="20"/>
        <v>ReenaReddy</v>
      </c>
      <c r="G176" t="s">
        <v>495</v>
      </c>
      <c r="H176" t="s">
        <v>496</v>
      </c>
      <c r="I176" s="114" t="str">
        <f t="shared" si="21"/>
        <v>Reena Reddy</v>
      </c>
    </row>
    <row r="177" spans="1:12">
      <c r="A177" t="s">
        <v>497</v>
      </c>
      <c r="B177" t="s">
        <v>448</v>
      </c>
      <c r="C177" s="296" t="str">
        <f t="shared" si="20"/>
        <v>RohitSharma</v>
      </c>
      <c r="G177" t="s">
        <v>497</v>
      </c>
      <c r="H177" t="s">
        <v>448</v>
      </c>
      <c r="I177" s="114" t="str">
        <f t="shared" si="21"/>
        <v>Rohit Sharma</v>
      </c>
    </row>
    <row r="179" spans="1:12" ht="15.75">
      <c r="A179" s="298" t="s">
        <v>500</v>
      </c>
      <c r="B179" s="299"/>
      <c r="C179" s="299"/>
      <c r="D179" s="299"/>
      <c r="E179" s="299"/>
      <c r="G179" s="300" t="s">
        <v>508</v>
      </c>
      <c r="H179" s="122"/>
      <c r="I179" s="122"/>
      <c r="J179" s="122"/>
      <c r="K179" s="122"/>
    </row>
    <row r="181" spans="1:12">
      <c r="A181" s="23" t="s">
        <v>504</v>
      </c>
      <c r="B181" t="s">
        <v>501</v>
      </c>
      <c r="G181" s="23" t="s">
        <v>504</v>
      </c>
      <c r="H181" t="s">
        <v>509</v>
      </c>
    </row>
    <row r="182" spans="1:12">
      <c r="B182" t="s">
        <v>502</v>
      </c>
      <c r="H182" t="s">
        <v>510</v>
      </c>
    </row>
    <row r="183" spans="1:12">
      <c r="B183" t="s">
        <v>503</v>
      </c>
      <c r="H183" t="s">
        <v>511</v>
      </c>
    </row>
    <row r="184" spans="1:12">
      <c r="A184" s="23" t="s">
        <v>505</v>
      </c>
      <c r="B184" t="s">
        <v>506</v>
      </c>
      <c r="G184" s="23" t="s">
        <v>505</v>
      </c>
      <c r="H184" t="s">
        <v>512</v>
      </c>
    </row>
    <row r="185" spans="1:12">
      <c r="B185" t="s">
        <v>507</v>
      </c>
      <c r="H185" t="s">
        <v>513</v>
      </c>
    </row>
    <row r="186" spans="1:12">
      <c r="B186" t="s">
        <v>507</v>
      </c>
      <c r="H186" t="s">
        <v>514</v>
      </c>
    </row>
    <row r="188" spans="1:12">
      <c r="A188" s="245" t="s">
        <v>515</v>
      </c>
      <c r="B188" s="246"/>
      <c r="C188" s="246"/>
      <c r="D188" s="246"/>
      <c r="E188" s="246"/>
      <c r="F188" s="247"/>
      <c r="H188" s="301" t="s">
        <v>527</v>
      </c>
      <c r="I188" s="267"/>
      <c r="J188" s="267"/>
      <c r="K188" s="267"/>
      <c r="L188" s="268"/>
    </row>
    <row r="190" spans="1:12" ht="30">
      <c r="A190" s="1" t="s">
        <v>516</v>
      </c>
      <c r="B190" s="1" t="s">
        <v>517</v>
      </c>
      <c r="C190" s="1" t="s">
        <v>518</v>
      </c>
      <c r="D190" s="1" t="s">
        <v>49</v>
      </c>
      <c r="E190" s="1" t="s">
        <v>168</v>
      </c>
      <c r="H190" s="1" t="s">
        <v>516</v>
      </c>
      <c r="I190" s="1" t="s">
        <v>517</v>
      </c>
      <c r="J190" s="302" t="s">
        <v>518</v>
      </c>
      <c r="K190" s="1" t="s">
        <v>49</v>
      </c>
      <c r="L190" s="1" t="s">
        <v>168</v>
      </c>
    </row>
    <row r="191" spans="1:12">
      <c r="A191" s="2">
        <v>1001</v>
      </c>
      <c r="B191" s="2" t="s">
        <v>383</v>
      </c>
      <c r="C191" s="2" t="s">
        <v>519</v>
      </c>
      <c r="D191" s="2" t="s">
        <v>67</v>
      </c>
      <c r="E191" s="2">
        <v>2</v>
      </c>
      <c r="H191" s="2">
        <v>1001</v>
      </c>
      <c r="I191" s="2" t="s">
        <v>383</v>
      </c>
      <c r="J191" s="303" t="s">
        <v>519</v>
      </c>
      <c r="K191" s="2" t="s">
        <v>67</v>
      </c>
      <c r="L191" s="2">
        <v>2</v>
      </c>
    </row>
    <row r="192" spans="1:12">
      <c r="A192" s="2">
        <v>1002</v>
      </c>
      <c r="B192" s="2" t="s">
        <v>386</v>
      </c>
      <c r="C192" s="2" t="s">
        <v>520</v>
      </c>
      <c r="D192" s="2" t="s">
        <v>208</v>
      </c>
      <c r="E192" s="2">
        <v>1</v>
      </c>
      <c r="H192" s="2">
        <v>1002</v>
      </c>
      <c r="I192" s="2" t="s">
        <v>386</v>
      </c>
      <c r="J192" s="303" t="s">
        <v>520</v>
      </c>
      <c r="K192" s="2" t="s">
        <v>208</v>
      </c>
      <c r="L192" s="2">
        <v>1</v>
      </c>
    </row>
    <row r="193" spans="1:12" ht="30">
      <c r="A193" s="2">
        <v>1003</v>
      </c>
      <c r="B193" s="2" t="s">
        <v>207</v>
      </c>
      <c r="C193" s="2" t="s">
        <v>521</v>
      </c>
      <c r="D193" s="2" t="s">
        <v>68</v>
      </c>
      <c r="E193" s="2">
        <v>3</v>
      </c>
      <c r="H193" s="2">
        <v>1003</v>
      </c>
      <c r="I193" s="2" t="s">
        <v>207</v>
      </c>
      <c r="J193" s="303" t="s">
        <v>521</v>
      </c>
      <c r="K193" s="2" t="s">
        <v>68</v>
      </c>
      <c r="L193" s="2">
        <v>3</v>
      </c>
    </row>
    <row r="194" spans="1:12">
      <c r="A194" s="2">
        <v>1004</v>
      </c>
      <c r="B194" s="2" t="s">
        <v>211</v>
      </c>
      <c r="C194" s="2" t="s">
        <v>519</v>
      </c>
      <c r="D194" s="2" t="s">
        <v>67</v>
      </c>
      <c r="E194" s="2">
        <v>1</v>
      </c>
      <c r="H194" s="2">
        <v>1004</v>
      </c>
      <c r="I194" s="2" t="s">
        <v>211</v>
      </c>
      <c r="J194" s="303" t="s">
        <v>519</v>
      </c>
      <c r="K194" s="2" t="s">
        <v>67</v>
      </c>
      <c r="L194" s="2">
        <v>1</v>
      </c>
    </row>
    <row r="195" spans="1:12">
      <c r="A195" s="2">
        <v>1005</v>
      </c>
      <c r="B195" s="2" t="s">
        <v>213</v>
      </c>
      <c r="C195" s="2" t="s">
        <v>522</v>
      </c>
      <c r="D195" s="2" t="s">
        <v>71</v>
      </c>
      <c r="E195" s="2">
        <v>2</v>
      </c>
      <c r="H195" s="2">
        <v>1005</v>
      </c>
      <c r="I195" s="2" t="s">
        <v>213</v>
      </c>
      <c r="J195" s="303" t="s">
        <v>522</v>
      </c>
      <c r="K195" s="2" t="s">
        <v>71</v>
      </c>
      <c r="L195" s="2">
        <v>2</v>
      </c>
    </row>
    <row r="196" spans="1:12" ht="30">
      <c r="A196" s="2">
        <v>1006</v>
      </c>
      <c r="B196" s="2" t="s">
        <v>393</v>
      </c>
      <c r="C196" s="2" t="s">
        <v>520</v>
      </c>
      <c r="D196" s="2" t="s">
        <v>208</v>
      </c>
      <c r="E196" s="2">
        <v>1</v>
      </c>
      <c r="H196" s="2">
        <v>1006</v>
      </c>
      <c r="I196" s="2" t="s">
        <v>393</v>
      </c>
      <c r="J196" s="303" t="s">
        <v>520</v>
      </c>
      <c r="K196" s="2" t="s">
        <v>208</v>
      </c>
      <c r="L196" s="2">
        <v>1</v>
      </c>
    </row>
    <row r="197" spans="1:12">
      <c r="A197" s="2">
        <v>1007</v>
      </c>
      <c r="B197" s="2" t="s">
        <v>209</v>
      </c>
      <c r="C197" s="2" t="s">
        <v>523</v>
      </c>
      <c r="D197" s="2" t="s">
        <v>50</v>
      </c>
      <c r="E197" s="2">
        <v>1</v>
      </c>
      <c r="H197" s="2">
        <v>1007</v>
      </c>
      <c r="I197" s="2" t="s">
        <v>209</v>
      </c>
      <c r="J197" s="303" t="s">
        <v>523</v>
      </c>
      <c r="K197" s="2" t="s">
        <v>50</v>
      </c>
      <c r="L197" s="2">
        <v>1</v>
      </c>
    </row>
    <row r="198" spans="1:12">
      <c r="A198" s="2">
        <v>1008</v>
      </c>
      <c r="B198" s="2" t="s">
        <v>524</v>
      </c>
      <c r="C198" s="2" t="s">
        <v>521</v>
      </c>
      <c r="D198" s="2" t="s">
        <v>68</v>
      </c>
      <c r="E198" s="2">
        <v>4</v>
      </c>
      <c r="H198" s="2">
        <v>1008</v>
      </c>
      <c r="I198" s="2" t="s">
        <v>524</v>
      </c>
      <c r="J198" s="303" t="s">
        <v>521</v>
      </c>
      <c r="K198" s="2" t="s">
        <v>68</v>
      </c>
      <c r="L198" s="2">
        <v>4</v>
      </c>
    </row>
    <row r="199" spans="1:12">
      <c r="A199" s="2">
        <v>1009</v>
      </c>
      <c r="B199" s="2" t="s">
        <v>525</v>
      </c>
      <c r="C199" s="2" t="s">
        <v>519</v>
      </c>
      <c r="D199" s="2" t="s">
        <v>67</v>
      </c>
      <c r="E199" s="2">
        <v>2</v>
      </c>
      <c r="H199" s="2">
        <v>1009</v>
      </c>
      <c r="I199" s="2" t="s">
        <v>525</v>
      </c>
      <c r="J199" s="303" t="s">
        <v>519</v>
      </c>
      <c r="K199" s="2" t="s">
        <v>67</v>
      </c>
      <c r="L199" s="2">
        <v>2</v>
      </c>
    </row>
    <row r="200" spans="1:12">
      <c r="A200" s="2">
        <v>1010</v>
      </c>
      <c r="B200" s="2" t="s">
        <v>526</v>
      </c>
      <c r="C200" s="2" t="s">
        <v>522</v>
      </c>
      <c r="D200" s="2" t="s">
        <v>71</v>
      </c>
      <c r="E200" s="2">
        <v>1</v>
      </c>
      <c r="H200" s="2">
        <v>1010</v>
      </c>
      <c r="I200" s="2" t="s">
        <v>526</v>
      </c>
      <c r="J200" s="303" t="s">
        <v>522</v>
      </c>
      <c r="K200" s="2" t="s">
        <v>71</v>
      </c>
      <c r="L200" s="2">
        <v>1</v>
      </c>
    </row>
    <row r="202" spans="1:12">
      <c r="A202" s="260" t="s">
        <v>528</v>
      </c>
      <c r="B202" s="261"/>
      <c r="C202" s="261"/>
      <c r="D202" s="261"/>
      <c r="E202" s="261"/>
      <c r="H202" s="292" t="s">
        <v>534</v>
      </c>
      <c r="I202" s="294"/>
      <c r="J202" s="294"/>
      <c r="K202" s="294"/>
      <c r="L202" s="114"/>
    </row>
    <row r="203" spans="1:12" ht="30">
      <c r="A203" s="1" t="s">
        <v>516</v>
      </c>
      <c r="B203" s="1" t="s">
        <v>517</v>
      </c>
      <c r="C203" s="1" t="s">
        <v>518</v>
      </c>
      <c r="D203" s="1" t="s">
        <v>49</v>
      </c>
      <c r="E203" s="1" t="s">
        <v>168</v>
      </c>
      <c r="F203" s="304" t="s">
        <v>518</v>
      </c>
      <c r="H203" s="1" t="s">
        <v>516</v>
      </c>
      <c r="I203" s="1" t="s">
        <v>518</v>
      </c>
      <c r="J203" s="1" t="s">
        <v>49</v>
      </c>
      <c r="K203" s="1" t="s">
        <v>518</v>
      </c>
    </row>
    <row r="204" spans="1:12">
      <c r="A204" s="2">
        <v>1001</v>
      </c>
      <c r="B204" s="2" t="s">
        <v>383</v>
      </c>
      <c r="C204" s="2" t="s">
        <v>519</v>
      </c>
      <c r="D204" s="2" t="s">
        <v>67</v>
      </c>
      <c r="E204" s="2">
        <v>2</v>
      </c>
      <c r="F204" s="305" t="s">
        <v>529</v>
      </c>
      <c r="H204" s="2">
        <v>1001</v>
      </c>
      <c r="I204" s="2" t="s">
        <v>535</v>
      </c>
      <c r="J204" s="2" t="s">
        <v>67</v>
      </c>
      <c r="K204" s="2" t="s">
        <v>541</v>
      </c>
    </row>
    <row r="205" spans="1:12">
      <c r="A205" s="2">
        <v>1002</v>
      </c>
      <c r="B205" s="2" t="s">
        <v>386</v>
      </c>
      <c r="C205" s="2" t="s">
        <v>520</v>
      </c>
      <c r="D205" s="2" t="s">
        <v>208</v>
      </c>
      <c r="E205" s="2">
        <v>1</v>
      </c>
      <c r="F205" s="305" t="s">
        <v>530</v>
      </c>
      <c r="G205" s="2" t="s">
        <v>60</v>
      </c>
      <c r="H205" s="2">
        <v>1002</v>
      </c>
      <c r="I205" s="213" t="s">
        <v>538</v>
      </c>
      <c r="J205" s="2" t="s">
        <v>208</v>
      </c>
      <c r="K205" s="213" t="s">
        <v>541</v>
      </c>
    </row>
    <row r="206" spans="1:12">
      <c r="A206" s="2">
        <v>1003</v>
      </c>
      <c r="B206" s="2" t="s">
        <v>207</v>
      </c>
      <c r="C206" s="2" t="s">
        <v>521</v>
      </c>
      <c r="D206" s="2" t="s">
        <v>68</v>
      </c>
      <c r="E206" s="2">
        <v>3</v>
      </c>
      <c r="F206" s="305" t="s">
        <v>531</v>
      </c>
      <c r="H206" s="2">
        <v>1003</v>
      </c>
      <c r="I206" s="213" t="s">
        <v>536</v>
      </c>
      <c r="J206" s="2" t="s">
        <v>68</v>
      </c>
      <c r="K206" s="213" t="s">
        <v>541</v>
      </c>
    </row>
    <row r="207" spans="1:12">
      <c r="A207" s="2">
        <v>1004</v>
      </c>
      <c r="B207" s="2" t="s">
        <v>211</v>
      </c>
      <c r="C207" s="2" t="s">
        <v>519</v>
      </c>
      <c r="D207" s="2" t="s">
        <v>67</v>
      </c>
      <c r="E207" s="2">
        <v>1</v>
      </c>
      <c r="F207" s="305" t="s">
        <v>529</v>
      </c>
      <c r="H207" s="2">
        <v>1004</v>
      </c>
      <c r="I207" s="213" t="s">
        <v>539</v>
      </c>
      <c r="J207" s="2" t="s">
        <v>71</v>
      </c>
      <c r="K207" s="213" t="s">
        <v>541</v>
      </c>
      <c r="L207" t="s">
        <v>60</v>
      </c>
    </row>
    <row r="208" spans="1:12">
      <c r="A208" s="2">
        <v>1005</v>
      </c>
      <c r="B208" s="2" t="s">
        <v>213</v>
      </c>
      <c r="C208" s="2" t="s">
        <v>522</v>
      </c>
      <c r="D208" s="2" t="s">
        <v>71</v>
      </c>
      <c r="E208" s="2">
        <v>2</v>
      </c>
      <c r="F208" s="305" t="s">
        <v>532</v>
      </c>
      <c r="H208" s="2">
        <v>1005</v>
      </c>
      <c r="I208" s="213" t="s">
        <v>537</v>
      </c>
      <c r="J208" s="2" t="s">
        <v>50</v>
      </c>
      <c r="K208" s="213" t="s">
        <v>541</v>
      </c>
    </row>
    <row r="209" spans="1:11">
      <c r="A209" s="2">
        <v>1006</v>
      </c>
      <c r="B209" s="2" t="s">
        <v>393</v>
      </c>
      <c r="C209" s="2" t="s">
        <v>520</v>
      </c>
      <c r="D209" s="2" t="s">
        <v>208</v>
      </c>
      <c r="E209" s="2">
        <v>1</v>
      </c>
      <c r="F209" s="305" t="s">
        <v>530</v>
      </c>
      <c r="H209" s="2">
        <v>1006</v>
      </c>
      <c r="I209" s="213" t="s">
        <v>540</v>
      </c>
      <c r="J209" s="2" t="s">
        <v>67</v>
      </c>
      <c r="K209" s="213" t="s">
        <v>541</v>
      </c>
    </row>
    <row r="210" spans="1:11">
      <c r="A210" s="2">
        <v>1007</v>
      </c>
      <c r="B210" s="2" t="s">
        <v>209</v>
      </c>
      <c r="C210" s="2" t="s">
        <v>523</v>
      </c>
      <c r="D210" s="2" t="s">
        <v>50</v>
      </c>
      <c r="E210" s="2">
        <v>1</v>
      </c>
      <c r="F210" s="305" t="s">
        <v>533</v>
      </c>
    </row>
    <row r="211" spans="1:11">
      <c r="A211" s="2">
        <v>1008</v>
      </c>
      <c r="B211" s="2" t="s">
        <v>524</v>
      </c>
      <c r="C211" s="2" t="s">
        <v>521</v>
      </c>
      <c r="D211" s="2" t="s">
        <v>68</v>
      </c>
      <c r="E211" s="2">
        <v>4</v>
      </c>
      <c r="F211" s="305" t="s">
        <v>531</v>
      </c>
    </row>
    <row r="212" spans="1:11">
      <c r="A212" s="2">
        <v>1009</v>
      </c>
      <c r="B212" s="2" t="s">
        <v>525</v>
      </c>
      <c r="C212" s="2" t="s">
        <v>519</v>
      </c>
      <c r="D212" s="2" t="s">
        <v>67</v>
      </c>
      <c r="E212" s="2">
        <v>2</v>
      </c>
      <c r="F212" s="305" t="s">
        <v>529</v>
      </c>
      <c r="J212" s="2" t="s">
        <v>60</v>
      </c>
    </row>
    <row r="213" spans="1:11">
      <c r="A213" s="2">
        <v>1010</v>
      </c>
      <c r="B213" s="2" t="s">
        <v>526</v>
      </c>
      <c r="C213" s="2" t="s">
        <v>522</v>
      </c>
      <c r="D213" s="2" t="s">
        <v>71</v>
      </c>
      <c r="E213" s="2">
        <v>1</v>
      </c>
      <c r="F213" s="305" t="s">
        <v>532</v>
      </c>
    </row>
    <row r="214" spans="1:11">
      <c r="I214" t="s">
        <v>60</v>
      </c>
    </row>
    <row r="216" spans="1:11">
      <c r="A216" s="306" t="s">
        <v>542</v>
      </c>
      <c r="B216" s="307"/>
      <c r="C216" s="307"/>
      <c r="D216" s="307"/>
      <c r="E216" s="308"/>
    </row>
    <row r="218" spans="1:11">
      <c r="A218" t="s">
        <v>543</v>
      </c>
    </row>
    <row r="219" spans="1:11">
      <c r="A219" t="s">
        <v>544</v>
      </c>
    </row>
    <row r="220" spans="1:11">
      <c r="A220" t="s">
        <v>545</v>
      </c>
    </row>
    <row r="221" spans="1:11">
      <c r="A221" t="s">
        <v>546</v>
      </c>
    </row>
    <row r="222" spans="1:11">
      <c r="A222" t="s">
        <v>547</v>
      </c>
    </row>
  </sheetData>
  <autoFilter ref="A20:G35" xr:uid="{760742D3-AC54-4FB7-880E-046D83A21E61}">
    <filterColumn colId="6">
      <filters>
        <filter val="OK"/>
      </filters>
    </filterColumn>
  </autoFilter>
  <mergeCells count="1">
    <mergeCell ref="M67:N67"/>
  </mergeCells>
  <conditionalFormatting sqref="D40:D55">
    <cfRule type="duplicateValues" dxfId="3" priority="1"/>
  </conditionalFormatting>
  <conditionalFormatting sqref="N17:N31">
    <cfRule type="duplicateValues" dxfId="2" priority="2"/>
  </conditionalFormatting>
  <hyperlinks>
    <hyperlink ref="K68" r:id="rId1" display="mailto:aditi.sharma@gmail.com" xr:uid="{87035C7E-A29E-43A2-BFA5-18E18E1DB6CB}"/>
    <hyperlink ref="K69" r:id="rId2" display="mailto:rahul_23@yahoo.com" xr:uid="{55F26CBD-F0A3-4A98-8C43-849135C36114}"/>
    <hyperlink ref="K70" r:id="rId3" display="mailto:sneha.kapoor@outlook.com" xr:uid="{8F25A6F5-4830-4BDF-AEBC-B18BA95A78B6}"/>
    <hyperlink ref="K71" r:id="rId4" display="mailto:karanj1990@rediffmail.com" xr:uid="{BB513218-3A23-4273-8C38-BEBA85219E13}"/>
    <hyperlink ref="K72" r:id="rId5" display="mailto:priya_v88@gmail.com" xr:uid="{3B20A03A-3F98-4BCB-BFC5-6BAB687B814D}"/>
    <hyperlink ref="K73" r:id="rId6" display="mailto:arjun.singh@company.org" xr:uid="{F58576B5-AA6B-4B5B-913C-BA4E23BD9749}"/>
    <hyperlink ref="K74" r:id="rId7" display="mailto:tmishra@hotmail.com" xr:uid="{2B6A98EC-193D-4869-B553-72A4DFB2DDA8}"/>
    <hyperlink ref="E81" r:id="rId8" display="mailto:aditi.sharma@gmail.com" xr:uid="{AFB2923C-1AB7-421E-8301-B222E5D243B6}"/>
    <hyperlink ref="E82" r:id="rId9" display="mailto:rahul_23@yahoo.com" xr:uid="{9601391D-0FE8-46B7-B55E-D559CDF9DA20}"/>
    <hyperlink ref="E83" r:id="rId10" display="mailto:sneha.kapoor@outlook.com" xr:uid="{F49AECC4-4330-47DB-A455-D3CCB561F6B1}"/>
    <hyperlink ref="E84" r:id="rId11" display="mailto:karanj1990@rediffmail.com" xr:uid="{8493E675-58B2-4C95-921D-7D4E0890A8CF}"/>
    <hyperlink ref="E85" r:id="rId12" display="mailto:priya_v88@gmail.com" xr:uid="{D27CE740-64C2-4B23-A4C9-613194371789}"/>
    <hyperlink ref="E86" r:id="rId13" display="mailto:arjun.singh@company.org" xr:uid="{BA145D4C-073B-4F60-9527-6AD28BB487E4}"/>
    <hyperlink ref="E87" r:id="rId14" display="mailto:tmishra@hotmail.com" xr:uid="{557D1898-7BF3-44A0-B921-692B6D859601}"/>
    <hyperlink ref="M81" r:id="rId15" display="mailto:aditi.sharma@gmail.com" xr:uid="{A6F5940F-F637-4640-8404-3D20D437291C}"/>
    <hyperlink ref="M82" r:id="rId16" display="mailto:rahul_23@yahoo.com" xr:uid="{EB9B318F-0B33-423C-878B-C6420C17B85C}"/>
    <hyperlink ref="M83" r:id="rId17" display="mailto:sneha.kapoor@outlook.com" xr:uid="{8FEC5B83-8157-4F90-A849-C0802201E520}"/>
    <hyperlink ref="M84" r:id="rId18" display="mailto:karanj1990@rediffmail.com" xr:uid="{1E358875-79C3-4A21-8FA9-806D85E20B93}"/>
    <hyperlink ref="M85" r:id="rId19" display="mailto:priya_v88@gmail.com" xr:uid="{023B1034-865F-487A-B3D1-3CD5F834040F}"/>
    <hyperlink ref="M86" r:id="rId20" display="mailto:arjun.singh@company.org" xr:uid="{FD6047F1-6110-4BD4-8C5E-5B94BE37864F}"/>
    <hyperlink ref="M87" r:id="rId21" display="mailto:tmishra@hotmail.com" xr:uid="{53CEC9EF-9F81-4027-9D0B-C807A0355F8F}"/>
    <hyperlink ref="D92" r:id="rId22" display="mailto:aditi.sharma@gmail.com" xr:uid="{C5671D04-5998-4682-9FD6-F90D7F286971}"/>
    <hyperlink ref="D93" r:id="rId23" display="mailto:rahul_23@yahoo.com" xr:uid="{BBDCCB4A-E8E8-4A21-9955-D0A757F6348F}"/>
    <hyperlink ref="D94" r:id="rId24" display="mailto:sneha.kapoor@outlook.com" xr:uid="{5F5AB35D-777F-4135-B948-E6E61644508C}"/>
    <hyperlink ref="D95" r:id="rId25" display="mailto:karanj1990@rediffmail.com" xr:uid="{1FEF3CC3-9013-4AE3-8356-E8656CC8EBE8}"/>
    <hyperlink ref="D96" r:id="rId26" display="mailto:priya_v88@gmail.com" xr:uid="{4275309A-FD67-4601-A42B-2E1AFB9EF7CD}"/>
    <hyperlink ref="D97" r:id="rId27" display="mailto:arjun.singh@company.org" xr:uid="{587E1022-962A-4E4E-A5F2-7CD49055AF1D}"/>
    <hyperlink ref="D98" r:id="rId28" display="mailto:tmishra@hotmail.com" xr:uid="{30802708-3CF1-4916-B771-91C28F246F4D}"/>
  </hyperlinks>
  <pageMargins left="0.7" right="0.7" top="0.75" bottom="0.75" header="0.3" footer="0.3"/>
  <drawing r:id="rId2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0B95B-E711-4598-89C9-C596CE31B5C6}">
  <sheetPr codeName="Sheet13"/>
  <dimension ref="A1:K17"/>
  <sheetViews>
    <sheetView workbookViewId="0">
      <selection activeCell="K14" sqref="K14"/>
    </sheetView>
  </sheetViews>
  <sheetFormatPr defaultRowHeight="15"/>
  <cols>
    <col min="1" max="1" width="7.28515625" bestFit="1" customWidth="1"/>
    <col min="2" max="2" width="8.42578125" bestFit="1" customWidth="1"/>
    <col min="3" max="3" width="15.85546875" bestFit="1" customWidth="1"/>
    <col min="4" max="4" width="14.5703125" customWidth="1"/>
    <col min="5" max="5" width="13.42578125" bestFit="1" customWidth="1"/>
    <col min="9" max="9" width="10.5703125" customWidth="1"/>
    <col min="10" max="10" width="10.85546875" customWidth="1"/>
    <col min="11" max="11" width="11.28515625" customWidth="1"/>
  </cols>
  <sheetData>
    <row r="1" spans="1:11" ht="30">
      <c r="A1" s="1" t="s">
        <v>548</v>
      </c>
      <c r="B1" s="1" t="s">
        <v>253</v>
      </c>
      <c r="C1" s="1" t="s">
        <v>517</v>
      </c>
      <c r="D1" s="1" t="s">
        <v>202</v>
      </c>
      <c r="E1" s="1" t="s">
        <v>312</v>
      </c>
      <c r="F1" s="1" t="s">
        <v>86</v>
      </c>
      <c r="G1" s="1" t="s">
        <v>0</v>
      </c>
      <c r="H1" s="1" t="s">
        <v>622</v>
      </c>
      <c r="I1" s="1" t="s">
        <v>623</v>
      </c>
      <c r="J1" s="1" t="s">
        <v>624</v>
      </c>
      <c r="K1" s="1" t="s">
        <v>625</v>
      </c>
    </row>
    <row r="2" spans="1:11">
      <c r="A2" s="2">
        <v>1001</v>
      </c>
      <c r="B2" s="142">
        <v>44348</v>
      </c>
      <c r="C2" s="2" t="s">
        <v>205</v>
      </c>
      <c r="D2" s="2" t="s">
        <v>67</v>
      </c>
      <c r="E2" s="310">
        <v>52000</v>
      </c>
      <c r="F2">
        <f>YEAR(B2)</f>
        <v>2021</v>
      </c>
      <c r="G2">
        <f>MONTH(B2)</f>
        <v>6</v>
      </c>
      <c r="H2">
        <f>DAY(B2)</f>
        <v>1</v>
      </c>
      <c r="I2">
        <f>WEEKNUM(B2,1)</f>
        <v>23</v>
      </c>
      <c r="J2" t="str">
        <f>TEXT(B2,"mmm-yyyy")</f>
        <v>Jun-2021</v>
      </c>
      <c r="K2" t="str">
        <f>TEXT(B2,"ddd")</f>
        <v>Tue</v>
      </c>
    </row>
    <row r="3" spans="1:11">
      <c r="A3" s="2">
        <v>1002</v>
      </c>
      <c r="B3" s="142">
        <v>45839</v>
      </c>
      <c r="C3" s="2" t="s">
        <v>206</v>
      </c>
      <c r="D3" s="2" t="s">
        <v>68</v>
      </c>
      <c r="E3" s="310">
        <v>1200</v>
      </c>
      <c r="F3">
        <f t="shared" ref="F3:F10" si="0">YEAR(B3)</f>
        <v>2025</v>
      </c>
      <c r="G3">
        <f t="shared" ref="G3:G11" si="1">MONTH(B3)</f>
        <v>7</v>
      </c>
      <c r="H3">
        <f t="shared" ref="H3:H11" si="2">DAY(B3)</f>
        <v>1</v>
      </c>
      <c r="I3">
        <f t="shared" ref="I3:I11" si="3">WEEKNUM(B3,1)</f>
        <v>27</v>
      </c>
      <c r="J3" t="str">
        <f t="shared" ref="J3:J11" si="4">TEXT(B3,"mmm-yyyy")</f>
        <v>Jul-2025</v>
      </c>
      <c r="K3" t="str">
        <f t="shared" ref="K3:K11" si="5">TEXT(B3,"ddd")</f>
        <v>Tue</v>
      </c>
    </row>
    <row r="4" spans="1:11">
      <c r="A4" s="2">
        <v>1003</v>
      </c>
      <c r="B4" s="142">
        <v>45445</v>
      </c>
      <c r="C4" s="2" t="s">
        <v>207</v>
      </c>
      <c r="D4" s="2" t="s">
        <v>208</v>
      </c>
      <c r="E4" s="310">
        <v>25000</v>
      </c>
      <c r="F4">
        <f t="shared" si="0"/>
        <v>2024</v>
      </c>
      <c r="G4">
        <f t="shared" si="1"/>
        <v>6</v>
      </c>
      <c r="H4">
        <f t="shared" si="2"/>
        <v>2</v>
      </c>
      <c r="I4">
        <f t="shared" si="3"/>
        <v>23</v>
      </c>
      <c r="J4" t="str">
        <f t="shared" si="4"/>
        <v>Jun-2024</v>
      </c>
      <c r="K4" t="str">
        <f t="shared" si="5"/>
        <v>Sun</v>
      </c>
    </row>
    <row r="5" spans="1:11">
      <c r="A5" s="2">
        <v>1004</v>
      </c>
      <c r="B5" s="142">
        <v>45902</v>
      </c>
      <c r="C5" s="2" t="s">
        <v>209</v>
      </c>
      <c r="D5" s="2" t="s">
        <v>71</v>
      </c>
      <c r="E5" s="310">
        <v>4500</v>
      </c>
      <c r="F5">
        <f t="shared" si="0"/>
        <v>2025</v>
      </c>
      <c r="G5">
        <f t="shared" si="1"/>
        <v>9</v>
      </c>
      <c r="H5">
        <f t="shared" si="2"/>
        <v>2</v>
      </c>
      <c r="I5">
        <f t="shared" si="3"/>
        <v>36</v>
      </c>
      <c r="J5" t="str">
        <f t="shared" si="4"/>
        <v>Sep-2025</v>
      </c>
      <c r="K5" t="str">
        <f t="shared" si="5"/>
        <v>Tue</v>
      </c>
    </row>
    <row r="6" spans="1:11">
      <c r="A6" s="2">
        <v>1005</v>
      </c>
      <c r="B6" s="142">
        <v>45476</v>
      </c>
      <c r="C6" s="2" t="s">
        <v>211</v>
      </c>
      <c r="D6" s="2" t="s">
        <v>212</v>
      </c>
      <c r="E6" s="310">
        <v>36000</v>
      </c>
      <c r="F6">
        <f t="shared" si="0"/>
        <v>2024</v>
      </c>
      <c r="G6">
        <f t="shared" si="1"/>
        <v>7</v>
      </c>
      <c r="H6">
        <f t="shared" si="2"/>
        <v>3</v>
      </c>
      <c r="I6">
        <f t="shared" si="3"/>
        <v>27</v>
      </c>
      <c r="J6" t="str">
        <f t="shared" si="4"/>
        <v>Jul-2024</v>
      </c>
      <c r="K6" t="str">
        <f t="shared" si="5"/>
        <v>Wed</v>
      </c>
    </row>
    <row r="7" spans="1:11">
      <c r="A7" s="2">
        <v>1006</v>
      </c>
      <c r="B7" s="142">
        <v>45476</v>
      </c>
      <c r="C7" s="2" t="s">
        <v>215</v>
      </c>
      <c r="D7" s="2" t="s">
        <v>208</v>
      </c>
      <c r="E7" s="310">
        <v>44000</v>
      </c>
      <c r="F7">
        <f t="shared" si="0"/>
        <v>2024</v>
      </c>
      <c r="G7">
        <f t="shared" si="1"/>
        <v>7</v>
      </c>
      <c r="H7">
        <f t="shared" si="2"/>
        <v>3</v>
      </c>
      <c r="I7">
        <f t="shared" si="3"/>
        <v>27</v>
      </c>
      <c r="J7" t="str">
        <f t="shared" si="4"/>
        <v>Jul-2024</v>
      </c>
      <c r="K7" t="str">
        <f t="shared" si="5"/>
        <v>Wed</v>
      </c>
    </row>
    <row r="8" spans="1:11">
      <c r="A8" s="2">
        <v>1007</v>
      </c>
      <c r="B8" s="142">
        <v>45720</v>
      </c>
      <c r="C8" s="2" t="s">
        <v>213</v>
      </c>
      <c r="D8" s="2" t="s">
        <v>50</v>
      </c>
      <c r="E8" s="310">
        <v>11000</v>
      </c>
      <c r="F8">
        <f t="shared" si="0"/>
        <v>2025</v>
      </c>
      <c r="G8">
        <f t="shared" si="1"/>
        <v>3</v>
      </c>
      <c r="H8">
        <f t="shared" si="2"/>
        <v>4</v>
      </c>
      <c r="I8">
        <f t="shared" si="3"/>
        <v>10</v>
      </c>
      <c r="J8" t="str">
        <f t="shared" si="4"/>
        <v>Mar-2025</v>
      </c>
      <c r="K8" t="str">
        <f t="shared" si="5"/>
        <v>Tue</v>
      </c>
    </row>
    <row r="9" spans="1:11">
      <c r="A9" s="2">
        <v>1008</v>
      </c>
      <c r="B9" s="142">
        <v>44747</v>
      </c>
      <c r="C9" s="2" t="s">
        <v>524</v>
      </c>
      <c r="D9" s="2" t="s">
        <v>67</v>
      </c>
      <c r="E9" s="310">
        <v>58000</v>
      </c>
      <c r="F9">
        <f t="shared" si="0"/>
        <v>2022</v>
      </c>
      <c r="G9">
        <f t="shared" si="1"/>
        <v>7</v>
      </c>
      <c r="H9">
        <f t="shared" si="2"/>
        <v>5</v>
      </c>
      <c r="I9">
        <f t="shared" si="3"/>
        <v>28</v>
      </c>
      <c r="J9" t="str">
        <f t="shared" si="4"/>
        <v>Jul-2022</v>
      </c>
      <c r="K9" t="str">
        <f t="shared" si="5"/>
        <v>Tue</v>
      </c>
    </row>
    <row r="10" spans="1:11">
      <c r="A10" s="2">
        <v>1009</v>
      </c>
      <c r="B10" s="142">
        <v>45721</v>
      </c>
      <c r="C10" s="2" t="s">
        <v>525</v>
      </c>
      <c r="D10" s="2" t="s">
        <v>58</v>
      </c>
      <c r="E10" s="310">
        <v>2000</v>
      </c>
      <c r="F10">
        <f t="shared" si="0"/>
        <v>2025</v>
      </c>
      <c r="G10">
        <f t="shared" si="1"/>
        <v>3</v>
      </c>
      <c r="H10">
        <f t="shared" si="2"/>
        <v>5</v>
      </c>
      <c r="I10">
        <f t="shared" si="3"/>
        <v>10</v>
      </c>
      <c r="J10" t="str">
        <f t="shared" si="4"/>
        <v>Mar-2025</v>
      </c>
      <c r="K10" t="str">
        <f t="shared" si="5"/>
        <v>Wed</v>
      </c>
    </row>
    <row r="11" spans="1:11">
      <c r="A11" s="2">
        <v>1010</v>
      </c>
      <c r="B11" s="142">
        <v>44598</v>
      </c>
      <c r="C11" s="2" t="s">
        <v>549</v>
      </c>
      <c r="D11" s="2" t="s">
        <v>212</v>
      </c>
      <c r="E11" s="310">
        <v>38000</v>
      </c>
      <c r="F11">
        <f>YEAR(B11)</f>
        <v>2022</v>
      </c>
      <c r="G11">
        <f t="shared" si="1"/>
        <v>2</v>
      </c>
      <c r="H11">
        <f t="shared" si="2"/>
        <v>6</v>
      </c>
      <c r="I11">
        <f t="shared" si="3"/>
        <v>7</v>
      </c>
      <c r="J11" t="str">
        <f t="shared" si="4"/>
        <v>Feb-2022</v>
      </c>
      <c r="K11" t="str">
        <f t="shared" si="5"/>
        <v>Sun</v>
      </c>
    </row>
    <row r="17" spans="11:11">
      <c r="K17" t="s">
        <v>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A9244-AACD-4134-9C55-392697BAC1F3}">
  <sheetPr codeName="Sheet14"/>
  <dimension ref="A3:T63"/>
  <sheetViews>
    <sheetView workbookViewId="0">
      <selection activeCell="G55" sqref="G55"/>
    </sheetView>
  </sheetViews>
  <sheetFormatPr defaultRowHeight="15"/>
  <cols>
    <col min="1" max="1" width="20.28515625" bestFit="1" customWidth="1"/>
    <col min="2" max="2" width="16.85546875" bestFit="1" customWidth="1"/>
    <col min="3" max="3" width="8.28515625" bestFit="1" customWidth="1"/>
    <col min="4" max="4" width="12" bestFit="1" customWidth="1"/>
    <col min="5" max="5" width="14.42578125" customWidth="1"/>
    <col min="6" max="6" width="13.7109375" bestFit="1" customWidth="1"/>
    <col min="7" max="7" width="20.28515625" bestFit="1" customWidth="1"/>
    <col min="8" max="8" width="7.28515625" bestFit="1" customWidth="1"/>
    <col min="9" max="9" width="13.7109375" bestFit="1" customWidth="1"/>
    <col min="10" max="10" width="14.140625" bestFit="1" customWidth="1"/>
    <col min="12" max="12" width="13.42578125" bestFit="1" customWidth="1"/>
    <col min="13" max="13" width="20.28515625" bestFit="1" customWidth="1"/>
    <col min="14" max="14" width="11" customWidth="1"/>
    <col min="15" max="15" width="13.7109375" bestFit="1" customWidth="1"/>
    <col min="16" max="16" width="20.28515625" bestFit="1" customWidth="1"/>
    <col min="18" max="18" width="13.42578125" bestFit="1" customWidth="1"/>
    <col min="19" max="19" width="20.28515625" bestFit="1" customWidth="1"/>
  </cols>
  <sheetData>
    <row r="3" spans="1:20">
      <c r="A3" s="311" t="s">
        <v>550</v>
      </c>
      <c r="B3" t="s">
        <v>552</v>
      </c>
      <c r="M3" s="316" t="s">
        <v>558</v>
      </c>
      <c r="N3" s="317"/>
      <c r="O3" s="317"/>
      <c r="P3" s="317"/>
      <c r="Q3" s="317"/>
      <c r="R3" s="317"/>
      <c r="S3" s="317"/>
      <c r="T3" s="317"/>
    </row>
    <row r="4" spans="1:20">
      <c r="A4" s="312" t="s">
        <v>67</v>
      </c>
      <c r="B4" s="309">
        <v>110000</v>
      </c>
      <c r="C4" s="313" t="s">
        <v>553</v>
      </c>
      <c r="D4" s="73"/>
      <c r="E4" s="73"/>
      <c r="F4" s="73"/>
      <c r="G4" s="73"/>
      <c r="H4" s="73"/>
      <c r="I4" s="73"/>
      <c r="J4" s="73"/>
    </row>
    <row r="5" spans="1:20">
      <c r="A5" s="312" t="s">
        <v>212</v>
      </c>
      <c r="B5" s="309">
        <v>74000</v>
      </c>
      <c r="C5" s="313" t="s">
        <v>554</v>
      </c>
      <c r="D5" s="73"/>
      <c r="E5" s="73"/>
      <c r="F5" s="73"/>
      <c r="G5" s="73"/>
      <c r="H5" s="73"/>
      <c r="I5" s="73"/>
      <c r="J5" s="73"/>
      <c r="M5" s="22" t="s">
        <v>559</v>
      </c>
      <c r="N5" t="s">
        <v>560</v>
      </c>
    </row>
    <row r="6" spans="1:20">
      <c r="A6" s="312" t="s">
        <v>208</v>
      </c>
      <c r="B6" s="309">
        <v>69000</v>
      </c>
      <c r="M6" t="s">
        <v>561</v>
      </c>
      <c r="N6" t="s">
        <v>562</v>
      </c>
    </row>
    <row r="7" spans="1:20">
      <c r="A7" s="312" t="s">
        <v>71</v>
      </c>
      <c r="B7" s="309">
        <v>4500</v>
      </c>
      <c r="M7" t="s">
        <v>563</v>
      </c>
      <c r="N7" t="s">
        <v>564</v>
      </c>
    </row>
    <row r="8" spans="1:20">
      <c r="A8" s="312" t="s">
        <v>50</v>
      </c>
      <c r="B8" s="309">
        <v>11000</v>
      </c>
      <c r="M8" t="s">
        <v>565</v>
      </c>
      <c r="N8" t="s">
        <v>566</v>
      </c>
    </row>
    <row r="9" spans="1:20">
      <c r="A9" s="312" t="s">
        <v>58</v>
      </c>
      <c r="B9" s="309">
        <v>2000</v>
      </c>
      <c r="M9" t="s">
        <v>567</v>
      </c>
      <c r="N9" t="s">
        <v>568</v>
      </c>
    </row>
    <row r="10" spans="1:20">
      <c r="A10" s="312" t="s">
        <v>68</v>
      </c>
      <c r="B10" s="309">
        <v>1200</v>
      </c>
      <c r="N10" s="23" t="s">
        <v>569</v>
      </c>
      <c r="O10" s="23"/>
    </row>
    <row r="11" spans="1:20">
      <c r="A11" s="312" t="s">
        <v>551</v>
      </c>
      <c r="B11" s="309">
        <v>271700</v>
      </c>
      <c r="E11" t="s">
        <v>60</v>
      </c>
      <c r="M11" t="s">
        <v>570</v>
      </c>
    </row>
    <row r="12" spans="1:20">
      <c r="A12" s="311" t="s">
        <v>253</v>
      </c>
      <c r="B12" t="s">
        <v>555</v>
      </c>
      <c r="M12" t="s">
        <v>571</v>
      </c>
    </row>
    <row r="13" spans="1:20">
      <c r="J13" t="s">
        <v>60</v>
      </c>
      <c r="M13" t="s">
        <v>572</v>
      </c>
    </row>
    <row r="14" spans="1:20">
      <c r="A14" s="311" t="s">
        <v>552</v>
      </c>
      <c r="B14" s="311" t="s">
        <v>556</v>
      </c>
      <c r="M14" t="s">
        <v>573</v>
      </c>
    </row>
    <row r="15" spans="1:20">
      <c r="A15" s="311" t="s">
        <v>550</v>
      </c>
      <c r="B15" t="s">
        <v>67</v>
      </c>
      <c r="C15" t="s">
        <v>212</v>
      </c>
      <c r="D15" t="s">
        <v>208</v>
      </c>
      <c r="M15" t="s">
        <v>575</v>
      </c>
    </row>
    <row r="16" spans="1:20">
      <c r="A16" s="312" t="s">
        <v>205</v>
      </c>
      <c r="B16" s="309">
        <v>52000</v>
      </c>
      <c r="C16" s="309"/>
      <c r="D16" s="309"/>
      <c r="E16" s="314" t="s">
        <v>557</v>
      </c>
      <c r="F16" s="315"/>
      <c r="G16" s="315"/>
      <c r="H16" s="315"/>
      <c r="I16" s="315"/>
      <c r="J16" s="315"/>
      <c r="M16" t="s">
        <v>574</v>
      </c>
    </row>
    <row r="17" spans="1:15">
      <c r="A17" s="312" t="s">
        <v>525</v>
      </c>
      <c r="B17" s="309"/>
      <c r="C17" s="309"/>
      <c r="D17" s="309"/>
    </row>
    <row r="18" spans="1:15">
      <c r="A18" s="312" t="s">
        <v>209</v>
      </c>
      <c r="B18" s="309"/>
      <c r="C18" s="309"/>
      <c r="D18" s="309"/>
    </row>
    <row r="19" spans="1:15">
      <c r="A19" s="312" t="s">
        <v>211</v>
      </c>
      <c r="B19" s="309"/>
      <c r="C19" s="309">
        <v>36000</v>
      </c>
      <c r="D19" s="309"/>
      <c r="O19" t="s">
        <v>60</v>
      </c>
    </row>
    <row r="20" spans="1:15">
      <c r="A20" s="245" t="s">
        <v>576</v>
      </c>
      <c r="B20" s="246"/>
      <c r="C20" s="246"/>
      <c r="D20" s="246"/>
      <c r="F20" s="319" t="s">
        <v>579</v>
      </c>
      <c r="G20" s="36"/>
      <c r="H20" s="36"/>
      <c r="I20" s="36"/>
      <c r="J20" s="36"/>
      <c r="K20" s="36"/>
      <c r="L20" s="36"/>
    </row>
    <row r="22" spans="1:15">
      <c r="A22" s="311" t="s">
        <v>550</v>
      </c>
      <c r="B22" t="s">
        <v>552</v>
      </c>
      <c r="F22" s="311" t="s">
        <v>550</v>
      </c>
      <c r="G22" t="s">
        <v>552</v>
      </c>
      <c r="I22" s="311" t="s">
        <v>550</v>
      </c>
      <c r="J22" t="s">
        <v>580</v>
      </c>
      <c r="L22" s="311" t="s">
        <v>550</v>
      </c>
      <c r="M22" t="s">
        <v>582</v>
      </c>
    </row>
    <row r="23" spans="1:15">
      <c r="A23" s="312" t="s">
        <v>577</v>
      </c>
      <c r="B23" s="309">
        <v>271700</v>
      </c>
      <c r="F23" s="312" t="s">
        <v>205</v>
      </c>
      <c r="G23" s="309">
        <v>52000</v>
      </c>
      <c r="I23" s="312" t="s">
        <v>205</v>
      </c>
      <c r="J23">
        <v>1001</v>
      </c>
      <c r="L23" s="312" t="s">
        <v>67</v>
      </c>
      <c r="M23">
        <v>2</v>
      </c>
    </row>
    <row r="24" spans="1:15">
      <c r="A24" s="318" t="s">
        <v>616</v>
      </c>
      <c r="B24" s="309">
        <v>53200</v>
      </c>
      <c r="E24" t="s">
        <v>60</v>
      </c>
      <c r="F24" s="312" t="s">
        <v>525</v>
      </c>
      <c r="G24" s="309">
        <v>2000</v>
      </c>
      <c r="I24" s="312" t="s">
        <v>525</v>
      </c>
      <c r="J24">
        <v>1009</v>
      </c>
      <c r="K24" t="s">
        <v>60</v>
      </c>
      <c r="L24" s="312" t="s">
        <v>212</v>
      </c>
      <c r="M24">
        <v>2</v>
      </c>
    </row>
    <row r="25" spans="1:15">
      <c r="A25" s="336">
        <v>45839</v>
      </c>
      <c r="B25" s="309">
        <v>53200</v>
      </c>
      <c r="F25" s="312" t="s">
        <v>209</v>
      </c>
      <c r="G25" s="309">
        <v>4500</v>
      </c>
      <c r="I25" s="312" t="s">
        <v>209</v>
      </c>
      <c r="J25">
        <v>1004</v>
      </c>
      <c r="L25" s="312" t="s">
        <v>208</v>
      </c>
      <c r="M25">
        <v>2</v>
      </c>
    </row>
    <row r="26" spans="1:15">
      <c r="A26" s="318" t="s">
        <v>617</v>
      </c>
      <c r="B26" s="309">
        <v>29500</v>
      </c>
      <c r="F26" s="312" t="s">
        <v>211</v>
      </c>
      <c r="G26" s="309">
        <v>36000</v>
      </c>
      <c r="I26" s="312" t="s">
        <v>211</v>
      </c>
      <c r="J26">
        <v>1005</v>
      </c>
      <c r="L26" s="312" t="s">
        <v>71</v>
      </c>
      <c r="M26">
        <v>1</v>
      </c>
    </row>
    <row r="27" spans="1:15">
      <c r="A27" s="336">
        <v>45840</v>
      </c>
      <c r="B27" s="309">
        <v>29500</v>
      </c>
      <c r="F27" s="312" t="s">
        <v>524</v>
      </c>
      <c r="G27" s="309">
        <v>58000</v>
      </c>
      <c r="I27" s="312" t="s">
        <v>524</v>
      </c>
      <c r="J27">
        <v>1008</v>
      </c>
      <c r="L27" s="312" t="s">
        <v>50</v>
      </c>
      <c r="M27">
        <v>1</v>
      </c>
    </row>
    <row r="28" spans="1:15">
      <c r="A28" s="318" t="s">
        <v>618</v>
      </c>
      <c r="B28" s="309">
        <v>80000</v>
      </c>
      <c r="F28" s="312" t="s">
        <v>213</v>
      </c>
      <c r="G28" s="309">
        <v>11000</v>
      </c>
      <c r="I28" s="312" t="s">
        <v>213</v>
      </c>
      <c r="J28">
        <v>1007</v>
      </c>
      <c r="L28" s="312" t="s">
        <v>58</v>
      </c>
      <c r="M28">
        <v>1</v>
      </c>
    </row>
    <row r="29" spans="1:15">
      <c r="A29" s="336">
        <v>45841</v>
      </c>
      <c r="B29" s="309">
        <v>80000</v>
      </c>
      <c r="F29" s="312" t="s">
        <v>206</v>
      </c>
      <c r="G29" s="309">
        <v>1200</v>
      </c>
      <c r="I29" s="312" t="s">
        <v>206</v>
      </c>
      <c r="J29">
        <v>1002</v>
      </c>
      <c r="L29" s="312" t="s">
        <v>68</v>
      </c>
      <c r="M29">
        <v>1</v>
      </c>
      <c r="O29" t="s">
        <v>60</v>
      </c>
    </row>
    <row r="30" spans="1:15">
      <c r="A30" s="318" t="s">
        <v>619</v>
      </c>
      <c r="B30" s="309">
        <v>11000</v>
      </c>
      <c r="F30" s="312" t="s">
        <v>549</v>
      </c>
      <c r="G30" s="309">
        <v>38000</v>
      </c>
      <c r="I30" s="312" t="s">
        <v>549</v>
      </c>
      <c r="J30">
        <v>1010</v>
      </c>
      <c r="L30" s="312" t="s">
        <v>551</v>
      </c>
      <c r="M30">
        <v>10</v>
      </c>
    </row>
    <row r="31" spans="1:15">
      <c r="A31" s="336">
        <v>45842</v>
      </c>
      <c r="B31" s="309">
        <v>11000</v>
      </c>
      <c r="F31" s="312" t="s">
        <v>207</v>
      </c>
      <c r="G31" s="309">
        <v>25000</v>
      </c>
      <c r="I31" s="312" t="s">
        <v>207</v>
      </c>
      <c r="J31">
        <v>1003</v>
      </c>
    </row>
    <row r="32" spans="1:15">
      <c r="A32" s="318" t="s">
        <v>620</v>
      </c>
      <c r="B32" s="309">
        <v>60000</v>
      </c>
      <c r="F32" s="312" t="s">
        <v>215</v>
      </c>
      <c r="G32" s="309">
        <v>44000</v>
      </c>
      <c r="I32" s="312" t="s">
        <v>215</v>
      </c>
      <c r="J32">
        <v>1006</v>
      </c>
    </row>
    <row r="33" spans="1:19">
      <c r="A33" s="336">
        <v>45843</v>
      </c>
      <c r="B33" s="309">
        <v>60000</v>
      </c>
      <c r="F33" s="312" t="s">
        <v>551</v>
      </c>
      <c r="G33" s="309">
        <v>271700</v>
      </c>
      <c r="I33" s="312" t="s">
        <v>551</v>
      </c>
      <c r="J33">
        <v>10055</v>
      </c>
    </row>
    <row r="34" spans="1:19">
      <c r="A34" s="318" t="s">
        <v>621</v>
      </c>
      <c r="B34" s="309">
        <v>38000</v>
      </c>
    </row>
    <row r="35" spans="1:19">
      <c r="A35" s="320" t="s">
        <v>583</v>
      </c>
      <c r="B35" s="321"/>
      <c r="C35" s="321"/>
      <c r="D35" s="321"/>
      <c r="E35" s="321"/>
      <c r="F35" s="323"/>
      <c r="I35" s="248" t="s">
        <v>585</v>
      </c>
      <c r="J35" s="98"/>
      <c r="K35" s="98"/>
      <c r="L35" s="98"/>
      <c r="M35" s="98"/>
    </row>
    <row r="36" spans="1:19">
      <c r="I36" s="312" t="s">
        <v>60</v>
      </c>
    </row>
    <row r="37" spans="1:19">
      <c r="A37" s="311" t="s">
        <v>550</v>
      </c>
      <c r="B37" t="s">
        <v>581</v>
      </c>
    </row>
    <row r="38" spans="1:19">
      <c r="A38" s="312" t="s">
        <v>577</v>
      </c>
      <c r="B38">
        <v>10</v>
      </c>
      <c r="G38" t="s">
        <v>60</v>
      </c>
    </row>
    <row r="39" spans="1:19">
      <c r="A39" s="318" t="s">
        <v>616</v>
      </c>
      <c r="B39">
        <v>2</v>
      </c>
    </row>
    <row r="40" spans="1:19">
      <c r="A40" s="336">
        <v>45839</v>
      </c>
      <c r="B40">
        <v>2</v>
      </c>
    </row>
    <row r="41" spans="1:19">
      <c r="A41" s="318" t="s">
        <v>617</v>
      </c>
      <c r="B41">
        <v>2</v>
      </c>
      <c r="I41" s="311" t="s">
        <v>550</v>
      </c>
      <c r="J41" t="s">
        <v>552</v>
      </c>
      <c r="L41" s="311" t="s">
        <v>550</v>
      </c>
      <c r="M41" t="s">
        <v>552</v>
      </c>
      <c r="O41" s="311" t="s">
        <v>550</v>
      </c>
      <c r="P41" t="s">
        <v>552</v>
      </c>
      <c r="R41" s="311" t="s">
        <v>550</v>
      </c>
      <c r="S41" t="s">
        <v>552</v>
      </c>
    </row>
    <row r="42" spans="1:19">
      <c r="A42" s="336">
        <v>45840</v>
      </c>
      <c r="B42">
        <v>2</v>
      </c>
      <c r="G42" t="s">
        <v>60</v>
      </c>
      <c r="I42" s="312" t="s">
        <v>205</v>
      </c>
      <c r="J42" s="309">
        <v>52000</v>
      </c>
      <c r="L42" s="312" t="s">
        <v>211</v>
      </c>
      <c r="M42" s="309">
        <v>36000</v>
      </c>
      <c r="O42" s="312" t="s">
        <v>207</v>
      </c>
      <c r="P42" s="309">
        <v>25000</v>
      </c>
      <c r="R42" s="312" t="s">
        <v>525</v>
      </c>
      <c r="S42" s="309">
        <v>2000</v>
      </c>
    </row>
    <row r="43" spans="1:19">
      <c r="A43" s="318" t="s">
        <v>618</v>
      </c>
      <c r="B43">
        <v>2</v>
      </c>
      <c r="I43" s="312" t="s">
        <v>524</v>
      </c>
      <c r="J43" s="309">
        <v>58000</v>
      </c>
      <c r="L43" s="312" t="s">
        <v>549</v>
      </c>
      <c r="M43" s="309">
        <v>38000</v>
      </c>
      <c r="O43" s="312" t="s">
        <v>215</v>
      </c>
      <c r="P43" s="309">
        <v>44000</v>
      </c>
      <c r="R43" s="312" t="s">
        <v>551</v>
      </c>
      <c r="S43" s="309">
        <v>2000</v>
      </c>
    </row>
    <row r="44" spans="1:19">
      <c r="A44" s="336">
        <v>45841</v>
      </c>
      <c r="B44">
        <v>2</v>
      </c>
      <c r="I44" s="312" t="s">
        <v>551</v>
      </c>
      <c r="J44" s="309">
        <v>110000</v>
      </c>
      <c r="L44" s="312" t="s">
        <v>551</v>
      </c>
      <c r="M44" s="309">
        <v>74000</v>
      </c>
      <c r="O44" s="312" t="s">
        <v>551</v>
      </c>
      <c r="P44" s="309">
        <v>69000</v>
      </c>
    </row>
    <row r="45" spans="1:19">
      <c r="A45" s="318" t="s">
        <v>619</v>
      </c>
      <c r="B45">
        <v>1</v>
      </c>
    </row>
    <row r="46" spans="1:19">
      <c r="A46" s="336">
        <v>45842</v>
      </c>
      <c r="B46">
        <v>1</v>
      </c>
    </row>
    <row r="47" spans="1:19">
      <c r="A47" s="324" t="s">
        <v>586</v>
      </c>
      <c r="B47" s="325"/>
      <c r="C47" s="325"/>
      <c r="D47" s="325"/>
      <c r="E47" s="325"/>
      <c r="F47" s="325"/>
      <c r="I47" s="326" t="s">
        <v>597</v>
      </c>
      <c r="J47" s="327"/>
      <c r="K47" s="327"/>
      <c r="L47" s="327"/>
    </row>
    <row r="48" spans="1:19">
      <c r="J48" t="s">
        <v>60</v>
      </c>
    </row>
    <row r="49" spans="1:10">
      <c r="A49" s="23" t="s">
        <v>587</v>
      </c>
      <c r="B49" t="s">
        <v>588</v>
      </c>
      <c r="I49" s="311" t="s">
        <v>550</v>
      </c>
      <c r="J49" t="s">
        <v>552</v>
      </c>
    </row>
    <row r="50" spans="1:10">
      <c r="B50" t="s">
        <v>589</v>
      </c>
      <c r="G50" t="s">
        <v>60</v>
      </c>
      <c r="I50" s="312" t="s">
        <v>577</v>
      </c>
      <c r="J50" s="309">
        <v>271700</v>
      </c>
    </row>
    <row r="51" spans="1:10">
      <c r="B51" t="s">
        <v>590</v>
      </c>
      <c r="I51" s="318" t="s">
        <v>616</v>
      </c>
      <c r="J51" s="309">
        <v>53200</v>
      </c>
    </row>
    <row r="52" spans="1:10">
      <c r="B52" t="s">
        <v>591</v>
      </c>
      <c r="I52" s="336">
        <v>45839</v>
      </c>
      <c r="J52" s="309">
        <v>53200</v>
      </c>
    </row>
    <row r="53" spans="1:10">
      <c r="A53" t="s">
        <v>592</v>
      </c>
      <c r="B53" t="s">
        <v>593</v>
      </c>
      <c r="I53" s="318" t="s">
        <v>617</v>
      </c>
      <c r="J53" s="309">
        <v>29500</v>
      </c>
    </row>
    <row r="54" spans="1:10">
      <c r="B54" t="s">
        <v>594</v>
      </c>
      <c r="I54" s="336">
        <v>45840</v>
      </c>
      <c r="J54" s="309">
        <v>29500</v>
      </c>
    </row>
    <row r="55" spans="1:10">
      <c r="B55" t="s">
        <v>595</v>
      </c>
      <c r="I55" s="318" t="s">
        <v>618</v>
      </c>
      <c r="J55" s="309">
        <v>80000</v>
      </c>
    </row>
    <row r="56" spans="1:10">
      <c r="B56" t="s">
        <v>596</v>
      </c>
      <c r="I56" s="336">
        <v>45841</v>
      </c>
      <c r="J56" s="309">
        <v>80000</v>
      </c>
    </row>
    <row r="57" spans="1:10">
      <c r="H57" t="s">
        <v>60</v>
      </c>
      <c r="I57" s="318" t="s">
        <v>619</v>
      </c>
      <c r="J57" s="309">
        <v>11000</v>
      </c>
    </row>
    <row r="58" spans="1:10">
      <c r="A58" s="23"/>
      <c r="B58" s="23"/>
      <c r="I58" s="336">
        <v>45842</v>
      </c>
      <c r="J58" s="309">
        <v>11000</v>
      </c>
    </row>
    <row r="59" spans="1:10">
      <c r="I59" s="318" t="s">
        <v>620</v>
      </c>
      <c r="J59" s="309">
        <v>60000</v>
      </c>
    </row>
    <row r="60" spans="1:10">
      <c r="I60" s="336">
        <v>45843</v>
      </c>
      <c r="J60" s="309">
        <v>60000</v>
      </c>
    </row>
    <row r="61" spans="1:10">
      <c r="I61" s="318" t="s">
        <v>621</v>
      </c>
      <c r="J61" s="309">
        <v>38000</v>
      </c>
    </row>
    <row r="62" spans="1:10">
      <c r="I62" s="336">
        <v>45844</v>
      </c>
      <c r="J62" s="309">
        <v>38000</v>
      </c>
    </row>
    <row r="63" spans="1:10">
      <c r="I63" s="312" t="s">
        <v>551</v>
      </c>
      <c r="J63" s="309">
        <v>271700</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FC4B1-0B44-4005-A0CD-1E514F56A5C2}">
  <sheetPr codeName="Sheet15"/>
  <dimension ref="A1:Z109"/>
  <sheetViews>
    <sheetView topLeftCell="A90" workbookViewId="0">
      <selection activeCell="B109" sqref="B109"/>
    </sheetView>
  </sheetViews>
  <sheetFormatPr defaultRowHeight="15"/>
  <cols>
    <col min="1" max="1" width="21" customWidth="1"/>
    <col min="2" max="2" width="20.28515625" bestFit="1" customWidth="1"/>
    <col min="3" max="3" width="8.28515625" bestFit="1" customWidth="1"/>
    <col min="4" max="4" width="14" bestFit="1" customWidth="1"/>
    <col min="5" max="5" width="20.28515625" bestFit="1" customWidth="1"/>
    <col min="6" max="6" width="14.28515625" bestFit="1" customWidth="1"/>
    <col min="7" max="7" width="9.42578125" bestFit="1" customWidth="1"/>
    <col min="8" max="8" width="7.28515625" bestFit="1" customWidth="1"/>
    <col min="9" max="9" width="11.28515625" bestFit="1" customWidth="1"/>
    <col min="10" max="10" width="20.28515625" bestFit="1" customWidth="1"/>
    <col min="11" max="11" width="16.85546875" bestFit="1" customWidth="1"/>
    <col min="12" max="12" width="19.28515625" bestFit="1" customWidth="1"/>
    <col min="13" max="13" width="20.28515625" bestFit="1" customWidth="1"/>
    <col min="14" max="14" width="11.5703125" bestFit="1" customWidth="1"/>
    <col min="15" max="15" width="14.28515625" bestFit="1" customWidth="1"/>
    <col min="16" max="16" width="9.42578125" bestFit="1" customWidth="1"/>
    <col min="17" max="17" width="7" bestFit="1" customWidth="1"/>
    <col min="18" max="18" width="11.28515625" bestFit="1" customWidth="1"/>
    <col min="20" max="20" width="12.140625" customWidth="1"/>
    <col min="22" max="22" width="15.42578125" bestFit="1" customWidth="1"/>
    <col min="23" max="23" width="20.28515625" bestFit="1" customWidth="1"/>
  </cols>
  <sheetData>
    <row r="1" spans="1:26">
      <c r="A1" s="1" t="s">
        <v>253</v>
      </c>
      <c r="B1" s="1" t="s">
        <v>255</v>
      </c>
      <c r="C1" s="1" t="s">
        <v>202</v>
      </c>
      <c r="D1" s="1" t="s">
        <v>312</v>
      </c>
      <c r="J1" s="329" t="s">
        <v>601</v>
      </c>
      <c r="K1" s="330"/>
      <c r="L1" s="330"/>
    </row>
    <row r="2" spans="1:26">
      <c r="A2" s="328">
        <v>45658</v>
      </c>
      <c r="B2" s="2" t="s">
        <v>257</v>
      </c>
      <c r="C2" s="2" t="s">
        <v>67</v>
      </c>
      <c r="D2" s="2">
        <v>52000</v>
      </c>
      <c r="P2" s="331" t="s">
        <v>602</v>
      </c>
      <c r="Q2" s="332"/>
      <c r="R2" s="332"/>
      <c r="S2" s="332"/>
      <c r="T2" s="332"/>
      <c r="V2" s="335"/>
      <c r="W2" s="23"/>
      <c r="X2" s="23"/>
      <c r="Y2" s="23"/>
      <c r="Z2" s="23"/>
    </row>
    <row r="3" spans="1:26">
      <c r="A3" s="328">
        <v>45659</v>
      </c>
      <c r="B3" s="2" t="s">
        <v>260</v>
      </c>
      <c r="C3" s="2" t="s">
        <v>68</v>
      </c>
      <c r="D3" s="2"/>
      <c r="J3" s="311" t="s">
        <v>550</v>
      </c>
      <c r="K3" t="s">
        <v>552</v>
      </c>
    </row>
    <row r="4" spans="1:26">
      <c r="A4" s="328">
        <v>45662</v>
      </c>
      <c r="B4" s="2" t="s">
        <v>258</v>
      </c>
      <c r="C4" s="2"/>
      <c r="D4" s="2">
        <v>18000</v>
      </c>
      <c r="J4" s="312" t="s">
        <v>598</v>
      </c>
      <c r="K4">
        <v>70000</v>
      </c>
    </row>
    <row r="5" spans="1:26" ht="30">
      <c r="A5" s="328">
        <v>45698</v>
      </c>
      <c r="B5" s="2" t="s">
        <v>257</v>
      </c>
      <c r="C5" s="2" t="s">
        <v>208</v>
      </c>
      <c r="D5" s="2">
        <v>25000</v>
      </c>
      <c r="J5" s="318" t="s">
        <v>605</v>
      </c>
      <c r="K5">
        <v>52000</v>
      </c>
      <c r="P5" s="311" t="s">
        <v>550</v>
      </c>
      <c r="Q5" t="s">
        <v>552</v>
      </c>
    </row>
    <row r="6" spans="1:26" ht="30">
      <c r="A6" s="328">
        <v>45702</v>
      </c>
      <c r="B6" s="2"/>
      <c r="C6" s="2" t="s">
        <v>71</v>
      </c>
      <c r="D6" s="2">
        <v>4500</v>
      </c>
      <c r="J6" s="333">
        <v>45658</v>
      </c>
      <c r="K6">
        <v>52000</v>
      </c>
      <c r="P6" s="312" t="s">
        <v>598</v>
      </c>
      <c r="Q6">
        <v>70000</v>
      </c>
    </row>
    <row r="7" spans="1:26">
      <c r="A7" s="328">
        <v>45708</v>
      </c>
      <c r="B7" s="2" t="s">
        <v>259</v>
      </c>
      <c r="C7" s="2" t="s">
        <v>212</v>
      </c>
      <c r="D7" s="2"/>
      <c r="J7" s="318" t="s">
        <v>606</v>
      </c>
      <c r="K7" t="s">
        <v>420</v>
      </c>
      <c r="P7" s="318" t="s">
        <v>605</v>
      </c>
      <c r="Q7">
        <v>52000</v>
      </c>
      <c r="R7" s="22" t="s">
        <v>615</v>
      </c>
    </row>
    <row r="8" spans="1:26" ht="30">
      <c r="A8" s="328">
        <v>45717</v>
      </c>
      <c r="B8" s="2" t="s">
        <v>260</v>
      </c>
      <c r="C8" s="2" t="s">
        <v>208</v>
      </c>
      <c r="D8" s="2">
        <v>44000</v>
      </c>
      <c r="J8" s="333">
        <v>45659</v>
      </c>
      <c r="K8" t="s">
        <v>420</v>
      </c>
      <c r="N8" t="s">
        <v>60</v>
      </c>
      <c r="P8" s="318" t="s">
        <v>606</v>
      </c>
      <c r="Q8" t="s">
        <v>420</v>
      </c>
      <c r="R8" t="s">
        <v>614</v>
      </c>
    </row>
    <row r="9" spans="1:26" ht="30">
      <c r="A9" s="328">
        <v>45721</v>
      </c>
      <c r="B9" s="2" t="s">
        <v>258</v>
      </c>
      <c r="C9" s="2" t="s">
        <v>50</v>
      </c>
      <c r="D9" s="2"/>
      <c r="J9" s="318" t="s">
        <v>607</v>
      </c>
      <c r="K9">
        <v>18000</v>
      </c>
      <c r="P9" s="318" t="s">
        <v>607</v>
      </c>
      <c r="Q9">
        <v>18000</v>
      </c>
    </row>
    <row r="10" spans="1:26">
      <c r="A10" s="328">
        <v>45727</v>
      </c>
      <c r="B10" s="2" t="s">
        <v>259</v>
      </c>
      <c r="C10" s="2" t="s">
        <v>67</v>
      </c>
      <c r="D10" s="2">
        <v>50000</v>
      </c>
      <c r="J10" s="333">
        <v>45662</v>
      </c>
      <c r="K10">
        <v>18000</v>
      </c>
      <c r="P10" s="312" t="s">
        <v>599</v>
      </c>
      <c r="Q10">
        <v>29500</v>
      </c>
    </row>
    <row r="11" spans="1:26">
      <c r="J11" s="312" t="s">
        <v>599</v>
      </c>
      <c r="K11">
        <v>29500</v>
      </c>
      <c r="P11" s="318" t="s">
        <v>608</v>
      </c>
      <c r="Q11">
        <v>25000</v>
      </c>
    </row>
    <row r="12" spans="1:26">
      <c r="J12" s="318" t="s">
        <v>608</v>
      </c>
      <c r="K12">
        <v>25000</v>
      </c>
      <c r="P12" s="318" t="s">
        <v>609</v>
      </c>
      <c r="Q12">
        <v>4500</v>
      </c>
    </row>
    <row r="13" spans="1:26">
      <c r="J13" s="333">
        <v>45698</v>
      </c>
      <c r="K13">
        <v>25000</v>
      </c>
      <c r="P13" s="318" t="s">
        <v>610</v>
      </c>
      <c r="Q13" t="s">
        <v>420</v>
      </c>
    </row>
    <row r="14" spans="1:26">
      <c r="J14" s="318" t="s">
        <v>609</v>
      </c>
      <c r="K14">
        <v>4500</v>
      </c>
      <c r="P14" s="312" t="s">
        <v>600</v>
      </c>
      <c r="Q14">
        <v>94000</v>
      </c>
    </row>
    <row r="15" spans="1:26">
      <c r="J15" s="333">
        <v>45702</v>
      </c>
      <c r="K15">
        <v>4500</v>
      </c>
      <c r="P15" s="318" t="s">
        <v>611</v>
      </c>
      <c r="Q15">
        <v>44000</v>
      </c>
    </row>
    <row r="16" spans="1:26">
      <c r="J16" s="318" t="s">
        <v>610</v>
      </c>
      <c r="K16" t="s">
        <v>420</v>
      </c>
      <c r="P16" s="318" t="s">
        <v>612</v>
      </c>
      <c r="Q16" t="s">
        <v>420</v>
      </c>
    </row>
    <row r="17" spans="1:17">
      <c r="J17" s="333">
        <v>45708</v>
      </c>
      <c r="K17" t="s">
        <v>420</v>
      </c>
      <c r="P17" s="318" t="s">
        <v>613</v>
      </c>
      <c r="Q17">
        <v>50000</v>
      </c>
    </row>
    <row r="18" spans="1:17">
      <c r="J18" s="312" t="s">
        <v>600</v>
      </c>
      <c r="K18">
        <v>94000</v>
      </c>
      <c r="P18" s="312" t="s">
        <v>551</v>
      </c>
      <c r="Q18">
        <v>193500</v>
      </c>
    </row>
    <row r="19" spans="1:17">
      <c r="J19" s="318" t="s">
        <v>611</v>
      </c>
      <c r="K19">
        <v>44000</v>
      </c>
    </row>
    <row r="20" spans="1:17">
      <c r="A20" s="334" t="s">
        <v>603</v>
      </c>
      <c r="B20" s="250"/>
      <c r="C20" s="250"/>
      <c r="D20" s="23"/>
      <c r="E20" s="23"/>
      <c r="J20" s="333">
        <v>45717</v>
      </c>
      <c r="K20">
        <v>44000</v>
      </c>
    </row>
    <row r="21" spans="1:17">
      <c r="J21" s="318" t="s">
        <v>612</v>
      </c>
      <c r="K21" t="s">
        <v>420</v>
      </c>
    </row>
    <row r="22" spans="1:17">
      <c r="C22" t="s">
        <v>60</v>
      </c>
      <c r="G22" t="s">
        <v>60</v>
      </c>
      <c r="J22" s="333">
        <v>45721</v>
      </c>
      <c r="K22" t="s">
        <v>420</v>
      </c>
    </row>
    <row r="23" spans="1:17">
      <c r="A23" s="311" t="s">
        <v>550</v>
      </c>
      <c r="B23" t="s">
        <v>552</v>
      </c>
      <c r="D23" s="311" t="s">
        <v>550</v>
      </c>
      <c r="E23" t="s">
        <v>552</v>
      </c>
      <c r="I23" t="s">
        <v>60</v>
      </c>
      <c r="J23" s="318" t="s">
        <v>613</v>
      </c>
      <c r="K23">
        <v>50000</v>
      </c>
    </row>
    <row r="24" spans="1:17">
      <c r="A24" s="312" t="s">
        <v>626</v>
      </c>
      <c r="B24" s="309">
        <v>52000</v>
      </c>
      <c r="D24" s="312" t="s">
        <v>626</v>
      </c>
      <c r="E24" s="309">
        <v>52000</v>
      </c>
      <c r="J24" s="333">
        <v>45727</v>
      </c>
      <c r="K24">
        <v>50000</v>
      </c>
    </row>
    <row r="25" spans="1:17">
      <c r="A25" s="318" t="s">
        <v>629</v>
      </c>
      <c r="B25" s="309">
        <v>52000</v>
      </c>
      <c r="D25" s="318" t="s">
        <v>629</v>
      </c>
      <c r="E25" s="309">
        <v>52000</v>
      </c>
      <c r="J25" s="312" t="s">
        <v>551</v>
      </c>
      <c r="K25">
        <v>193500</v>
      </c>
    </row>
    <row r="26" spans="1:17">
      <c r="A26" s="312" t="s">
        <v>627</v>
      </c>
      <c r="B26" s="309">
        <v>96000</v>
      </c>
      <c r="D26" s="336">
        <v>44348</v>
      </c>
      <c r="E26" s="309">
        <v>52000</v>
      </c>
    </row>
    <row r="27" spans="1:17">
      <c r="A27" s="318" t="s">
        <v>604</v>
      </c>
      <c r="B27" s="309">
        <v>38000</v>
      </c>
      <c r="D27" s="312" t="s">
        <v>627</v>
      </c>
      <c r="E27" s="309">
        <v>96000</v>
      </c>
    </row>
    <row r="28" spans="1:17">
      <c r="A28" s="318" t="s">
        <v>584</v>
      </c>
      <c r="B28" s="309">
        <v>58000</v>
      </c>
      <c r="D28" s="318" t="s">
        <v>604</v>
      </c>
      <c r="E28" s="309">
        <v>38000</v>
      </c>
    </row>
    <row r="29" spans="1:17">
      <c r="A29" s="312" t="s">
        <v>628</v>
      </c>
      <c r="B29" s="309">
        <v>105000</v>
      </c>
      <c r="D29" s="336">
        <v>44598</v>
      </c>
      <c r="E29" s="309">
        <v>38000</v>
      </c>
    </row>
    <row r="30" spans="1:17">
      <c r="A30" s="318" t="s">
        <v>629</v>
      </c>
      <c r="B30" s="309">
        <v>25000</v>
      </c>
      <c r="D30" s="318" t="s">
        <v>584</v>
      </c>
      <c r="E30" s="309">
        <v>58000</v>
      </c>
      <c r="H30" s="337" t="s">
        <v>630</v>
      </c>
      <c r="I30" s="338"/>
      <c r="J30" s="338"/>
      <c r="K30" s="338"/>
      <c r="L30" s="338"/>
      <c r="M30" s="338"/>
      <c r="N30" s="111"/>
      <c r="O30" s="111"/>
    </row>
    <row r="31" spans="1:17">
      <c r="A31" s="318" t="s">
        <v>584</v>
      </c>
      <c r="B31" s="309">
        <v>80000</v>
      </c>
      <c r="D31" s="336">
        <v>44747</v>
      </c>
      <c r="E31" s="309">
        <v>58000</v>
      </c>
    </row>
    <row r="32" spans="1:17">
      <c r="A32" s="312" t="s">
        <v>578</v>
      </c>
      <c r="B32" s="309">
        <v>18700</v>
      </c>
      <c r="D32" s="312" t="s">
        <v>628</v>
      </c>
      <c r="E32" s="309">
        <v>105000</v>
      </c>
      <c r="H32" t="s">
        <v>631</v>
      </c>
    </row>
    <row r="33" spans="1:8">
      <c r="A33" s="318" t="s">
        <v>604</v>
      </c>
      <c r="B33" s="309">
        <v>13000</v>
      </c>
      <c r="D33" s="318" t="s">
        <v>629</v>
      </c>
      <c r="E33" s="309">
        <v>25000</v>
      </c>
      <c r="H33" s="22" t="s">
        <v>632</v>
      </c>
    </row>
    <row r="34" spans="1:8">
      <c r="A34" s="318" t="s">
        <v>584</v>
      </c>
      <c r="B34" s="309">
        <v>5700</v>
      </c>
      <c r="D34" s="336">
        <v>45445</v>
      </c>
      <c r="E34" s="309">
        <v>25000</v>
      </c>
      <c r="H34" t="s">
        <v>634</v>
      </c>
    </row>
    <row r="35" spans="1:8">
      <c r="A35" s="312" t="s">
        <v>551</v>
      </c>
      <c r="B35" s="309">
        <v>271700</v>
      </c>
      <c r="D35" s="318" t="s">
        <v>584</v>
      </c>
      <c r="E35" s="309">
        <v>80000</v>
      </c>
      <c r="H35" t="s">
        <v>633</v>
      </c>
    </row>
    <row r="36" spans="1:8">
      <c r="D36" s="336">
        <v>45476</v>
      </c>
      <c r="E36" s="309">
        <v>80000</v>
      </c>
    </row>
    <row r="37" spans="1:8">
      <c r="D37" s="312" t="s">
        <v>578</v>
      </c>
      <c r="E37" s="309">
        <v>18700</v>
      </c>
    </row>
    <row r="38" spans="1:8">
      <c r="D38" s="318" t="s">
        <v>604</v>
      </c>
      <c r="E38" s="309">
        <v>13000</v>
      </c>
    </row>
    <row r="39" spans="1:8">
      <c r="D39" s="336">
        <v>45720</v>
      </c>
      <c r="E39" s="309">
        <v>11000</v>
      </c>
    </row>
    <row r="40" spans="1:8">
      <c r="D40" s="336">
        <v>45721</v>
      </c>
      <c r="E40" s="309">
        <v>2000</v>
      </c>
    </row>
    <row r="41" spans="1:8">
      <c r="D41" s="318" t="s">
        <v>584</v>
      </c>
      <c r="E41" s="309">
        <v>5700</v>
      </c>
    </row>
    <row r="42" spans="1:8">
      <c r="D42" s="336">
        <v>45839</v>
      </c>
      <c r="E42" s="309">
        <v>1200</v>
      </c>
    </row>
    <row r="43" spans="1:8">
      <c r="D43" s="336">
        <v>45902</v>
      </c>
      <c r="E43" s="309">
        <v>4500</v>
      </c>
    </row>
    <row r="44" spans="1:8">
      <c r="D44" s="312" t="s">
        <v>551</v>
      </c>
      <c r="E44" s="309">
        <v>271700</v>
      </c>
    </row>
    <row r="49" spans="1:18">
      <c r="A49" s="339" t="s">
        <v>635</v>
      </c>
      <c r="B49" s="340"/>
      <c r="C49" s="340"/>
      <c r="D49" s="340"/>
      <c r="E49" s="340"/>
    </row>
    <row r="50" spans="1:18">
      <c r="I50" s="341" t="s">
        <v>639</v>
      </c>
      <c r="J50" s="342"/>
      <c r="K50" s="342"/>
      <c r="L50" s="342"/>
      <c r="M50" s="342"/>
    </row>
    <row r="52" spans="1:18">
      <c r="A52" s="311" t="s">
        <v>550</v>
      </c>
      <c r="B52" t="s">
        <v>552</v>
      </c>
    </row>
    <row r="53" spans="1:18">
      <c r="A53" s="312" t="s">
        <v>636</v>
      </c>
      <c r="B53" s="309">
        <v>184000</v>
      </c>
      <c r="J53" s="311" t="s">
        <v>552</v>
      </c>
      <c r="K53" s="311" t="s">
        <v>556</v>
      </c>
    </row>
    <row r="54" spans="1:18">
      <c r="A54" s="318" t="s">
        <v>67</v>
      </c>
      <c r="B54" s="309">
        <v>110000</v>
      </c>
      <c r="K54" t="s">
        <v>636</v>
      </c>
      <c r="M54" t="s">
        <v>637</v>
      </c>
      <c r="O54" t="s">
        <v>71</v>
      </c>
      <c r="P54" t="s">
        <v>638</v>
      </c>
      <c r="R54" t="s">
        <v>551</v>
      </c>
    </row>
    <row r="55" spans="1:18">
      <c r="A55" s="318" t="s">
        <v>212</v>
      </c>
      <c r="B55" s="309">
        <v>74000</v>
      </c>
      <c r="J55" s="311" t="s">
        <v>550</v>
      </c>
      <c r="K55" t="s">
        <v>67</v>
      </c>
      <c r="L55" t="s">
        <v>212</v>
      </c>
      <c r="M55" t="s">
        <v>208</v>
      </c>
      <c r="N55" t="s">
        <v>50</v>
      </c>
      <c r="O55" t="s">
        <v>71</v>
      </c>
      <c r="P55" t="s">
        <v>58</v>
      </c>
      <c r="Q55" t="s">
        <v>68</v>
      </c>
    </row>
    <row r="56" spans="1:18">
      <c r="A56" s="312" t="s">
        <v>637</v>
      </c>
      <c r="B56" s="309">
        <v>80000</v>
      </c>
      <c r="J56" s="312" t="s">
        <v>636</v>
      </c>
      <c r="K56" s="309">
        <v>110000</v>
      </c>
      <c r="L56" s="309"/>
      <c r="M56" s="309"/>
      <c r="N56" s="309"/>
      <c r="O56" s="309"/>
      <c r="P56" s="309"/>
      <c r="Q56" s="309"/>
      <c r="R56" s="309">
        <v>110000</v>
      </c>
    </row>
    <row r="57" spans="1:18">
      <c r="A57" s="318" t="s">
        <v>208</v>
      </c>
      <c r="B57" s="309">
        <v>69000</v>
      </c>
      <c r="J57" s="318" t="s">
        <v>636</v>
      </c>
      <c r="K57" s="309">
        <v>110000</v>
      </c>
      <c r="L57" s="309"/>
      <c r="M57" s="309"/>
      <c r="N57" s="309"/>
      <c r="O57" s="309"/>
      <c r="P57" s="309"/>
      <c r="Q57" s="309"/>
      <c r="R57" s="309">
        <v>110000</v>
      </c>
    </row>
    <row r="58" spans="1:18">
      <c r="A58" s="318" t="s">
        <v>50</v>
      </c>
      <c r="B58" s="309">
        <v>11000</v>
      </c>
      <c r="J58" s="322" t="s">
        <v>205</v>
      </c>
      <c r="K58" s="309">
        <v>52000</v>
      </c>
      <c r="L58" s="309"/>
      <c r="M58" s="309"/>
      <c r="N58" s="309"/>
      <c r="O58" s="309"/>
      <c r="P58" s="309"/>
      <c r="Q58" s="309"/>
      <c r="R58" s="309">
        <v>52000</v>
      </c>
    </row>
    <row r="59" spans="1:18">
      <c r="A59" s="312" t="s">
        <v>71</v>
      </c>
      <c r="B59" s="309">
        <v>4500</v>
      </c>
      <c r="J59" s="322" t="s">
        <v>524</v>
      </c>
      <c r="K59" s="309">
        <v>58000</v>
      </c>
      <c r="L59" s="309"/>
      <c r="M59" s="309"/>
      <c r="N59" s="309"/>
      <c r="O59" s="309"/>
      <c r="P59" s="309"/>
      <c r="Q59" s="309"/>
      <c r="R59" s="309">
        <v>58000</v>
      </c>
    </row>
    <row r="60" spans="1:18">
      <c r="A60" s="318" t="s">
        <v>71</v>
      </c>
      <c r="B60" s="309">
        <v>4500</v>
      </c>
      <c r="J60" s="312" t="s">
        <v>525</v>
      </c>
      <c r="K60" s="309"/>
      <c r="L60" s="309"/>
      <c r="M60" s="309"/>
      <c r="N60" s="309"/>
      <c r="O60" s="309"/>
      <c r="P60" s="309">
        <v>2000</v>
      </c>
      <c r="Q60" s="309"/>
      <c r="R60" s="309">
        <v>2000</v>
      </c>
    </row>
    <row r="61" spans="1:18">
      <c r="A61" s="312" t="s">
        <v>638</v>
      </c>
      <c r="B61" s="309">
        <v>3200</v>
      </c>
      <c r="J61" s="318" t="s">
        <v>525</v>
      </c>
      <c r="K61" s="309"/>
      <c r="L61" s="309"/>
      <c r="M61" s="309"/>
      <c r="N61" s="309"/>
      <c r="O61" s="309"/>
      <c r="P61" s="309">
        <v>2000</v>
      </c>
      <c r="Q61" s="309"/>
      <c r="R61" s="309">
        <v>2000</v>
      </c>
    </row>
    <row r="62" spans="1:18">
      <c r="A62" s="318" t="s">
        <v>58</v>
      </c>
      <c r="B62" s="309">
        <v>2000</v>
      </c>
      <c r="J62" s="322" t="s">
        <v>525</v>
      </c>
      <c r="K62" s="309"/>
      <c r="L62" s="309"/>
      <c r="M62" s="309"/>
      <c r="N62" s="309"/>
      <c r="O62" s="309"/>
      <c r="P62" s="309">
        <v>2000</v>
      </c>
      <c r="Q62" s="309"/>
      <c r="R62" s="309">
        <v>2000</v>
      </c>
    </row>
    <row r="63" spans="1:18">
      <c r="A63" s="318" t="s">
        <v>68</v>
      </c>
      <c r="B63" s="309">
        <v>1200</v>
      </c>
      <c r="J63" s="312" t="s">
        <v>642</v>
      </c>
      <c r="K63" s="309"/>
      <c r="L63" s="309">
        <v>74000</v>
      </c>
      <c r="M63" s="309"/>
      <c r="N63" s="309"/>
      <c r="O63" s="309">
        <v>4500</v>
      </c>
      <c r="P63" s="309"/>
      <c r="Q63" s="309"/>
      <c r="R63" s="309">
        <v>78500</v>
      </c>
    </row>
    <row r="64" spans="1:18">
      <c r="A64" s="312" t="s">
        <v>551</v>
      </c>
      <c r="B64" s="309">
        <v>271700</v>
      </c>
      <c r="E64" t="e" cm="1">
        <f t="array" ref="E64">+A70A64:E72A64:E71B64:E68C64:E67A68A64:E69</f>
        <v>#NAME?</v>
      </c>
      <c r="J64" s="318" t="s">
        <v>209</v>
      </c>
      <c r="K64" s="309"/>
      <c r="L64" s="309"/>
      <c r="M64" s="309"/>
      <c r="N64" s="309"/>
      <c r="O64" s="309">
        <v>4500</v>
      </c>
      <c r="P64" s="309"/>
      <c r="Q64" s="309"/>
      <c r="R64" s="309">
        <v>4500</v>
      </c>
    </row>
    <row r="65" spans="1:18">
      <c r="J65" s="322" t="s">
        <v>209</v>
      </c>
      <c r="K65" s="309"/>
      <c r="L65" s="309"/>
      <c r="M65" s="309"/>
      <c r="N65" s="309"/>
      <c r="O65" s="309">
        <v>4500</v>
      </c>
      <c r="P65" s="309"/>
      <c r="Q65" s="309"/>
      <c r="R65" s="309">
        <v>4500</v>
      </c>
    </row>
    <row r="66" spans="1:18">
      <c r="J66" s="318" t="s">
        <v>211</v>
      </c>
      <c r="K66" s="309"/>
      <c r="L66" s="309">
        <v>36000</v>
      </c>
      <c r="M66" s="309"/>
      <c r="N66" s="309"/>
      <c r="O66" s="309"/>
      <c r="P66" s="309"/>
      <c r="Q66" s="309"/>
      <c r="R66" s="309">
        <v>36000</v>
      </c>
    </row>
    <row r="67" spans="1:18">
      <c r="J67" s="322" t="s">
        <v>211</v>
      </c>
      <c r="K67" s="309"/>
      <c r="L67" s="309">
        <v>36000</v>
      </c>
      <c r="M67" s="309"/>
      <c r="N67" s="309"/>
      <c r="O67" s="309"/>
      <c r="P67" s="309"/>
      <c r="Q67" s="309"/>
      <c r="R67" s="309">
        <v>36000</v>
      </c>
    </row>
    <row r="68" spans="1:18">
      <c r="A68" s="345" t="s">
        <v>640</v>
      </c>
      <c r="B68" s="346"/>
      <c r="C68" s="346"/>
      <c r="D68" s="346"/>
      <c r="J68" s="318" t="s">
        <v>549</v>
      </c>
      <c r="K68" s="309"/>
      <c r="L68" s="309">
        <v>38000</v>
      </c>
      <c r="M68" s="309"/>
      <c r="N68" s="309"/>
      <c r="O68" s="309"/>
      <c r="P68" s="309"/>
      <c r="Q68" s="309"/>
      <c r="R68" s="309">
        <v>38000</v>
      </c>
    </row>
    <row r="69" spans="1:18">
      <c r="J69" s="322" t="s">
        <v>549</v>
      </c>
      <c r="K69" s="309"/>
      <c r="L69" s="309">
        <v>38000</v>
      </c>
      <c r="M69" s="309"/>
      <c r="N69" s="309"/>
      <c r="O69" s="309"/>
      <c r="P69" s="309"/>
      <c r="Q69" s="309"/>
      <c r="R69" s="309">
        <v>38000</v>
      </c>
    </row>
    <row r="70" spans="1:18">
      <c r="J70" s="312" t="s">
        <v>637</v>
      </c>
      <c r="K70" s="309"/>
      <c r="L70" s="309"/>
      <c r="M70" s="309">
        <v>69000</v>
      </c>
      <c r="N70" s="309">
        <v>11000</v>
      </c>
      <c r="O70" s="309"/>
      <c r="P70" s="309"/>
      <c r="Q70" s="309"/>
      <c r="R70" s="309">
        <v>80000</v>
      </c>
    </row>
    <row r="71" spans="1:18">
      <c r="A71" s="311" t="s">
        <v>552</v>
      </c>
      <c r="B71" s="311" t="s">
        <v>556</v>
      </c>
      <c r="J71" s="318" t="s">
        <v>637</v>
      </c>
      <c r="K71" s="309"/>
      <c r="L71" s="309"/>
      <c r="M71" s="309">
        <v>69000</v>
      </c>
      <c r="N71" s="309">
        <v>11000</v>
      </c>
      <c r="O71" s="309"/>
      <c r="P71" s="309"/>
      <c r="Q71" s="309"/>
      <c r="R71" s="309">
        <v>80000</v>
      </c>
    </row>
    <row r="72" spans="1:18">
      <c r="B72" t="s">
        <v>636</v>
      </c>
      <c r="D72" t="s">
        <v>637</v>
      </c>
      <c r="F72" t="s">
        <v>71</v>
      </c>
      <c r="G72" t="s">
        <v>638</v>
      </c>
      <c r="I72" t="s">
        <v>551</v>
      </c>
      <c r="J72" s="322" t="s">
        <v>213</v>
      </c>
      <c r="K72" s="309"/>
      <c r="L72" s="309"/>
      <c r="M72" s="309"/>
      <c r="N72" s="309">
        <v>11000</v>
      </c>
      <c r="O72" s="309"/>
      <c r="P72" s="309"/>
      <c r="Q72" s="309"/>
      <c r="R72" s="309">
        <v>11000</v>
      </c>
    </row>
    <row r="73" spans="1:18">
      <c r="A73" s="311" t="s">
        <v>550</v>
      </c>
      <c r="B73" t="s">
        <v>67</v>
      </c>
      <c r="C73" t="s">
        <v>212</v>
      </c>
      <c r="D73" t="s">
        <v>208</v>
      </c>
      <c r="E73" t="s">
        <v>50</v>
      </c>
      <c r="F73" t="s">
        <v>71</v>
      </c>
      <c r="G73" t="s">
        <v>58</v>
      </c>
      <c r="H73" t="s">
        <v>68</v>
      </c>
      <c r="L73" s="292" t="s">
        <v>641</v>
      </c>
      <c r="M73" s="294"/>
      <c r="N73" s="294"/>
      <c r="O73" s="294"/>
      <c r="P73" s="294"/>
      <c r="Q73" s="294"/>
    </row>
    <row r="74" spans="1:18">
      <c r="A74" s="312" t="s">
        <v>636</v>
      </c>
      <c r="B74" s="309">
        <v>110000</v>
      </c>
      <c r="C74" s="309"/>
      <c r="D74" s="309"/>
      <c r="E74" s="309"/>
      <c r="F74" s="309"/>
      <c r="G74" s="309"/>
      <c r="H74" s="309"/>
      <c r="I74" s="309">
        <v>110000</v>
      </c>
    </row>
    <row r="75" spans="1:18">
      <c r="A75" s="318" t="s">
        <v>636</v>
      </c>
      <c r="B75" s="309">
        <v>110000</v>
      </c>
      <c r="C75" s="309"/>
      <c r="D75" s="309"/>
      <c r="E75" s="309"/>
      <c r="F75" s="309"/>
      <c r="G75" s="309"/>
      <c r="H75" s="309"/>
      <c r="I75" s="309">
        <v>110000</v>
      </c>
    </row>
    <row r="76" spans="1:18">
      <c r="A76" s="322" t="s">
        <v>205</v>
      </c>
      <c r="B76" s="309">
        <v>52000</v>
      </c>
      <c r="C76" s="309"/>
      <c r="D76" s="309"/>
      <c r="E76" s="309"/>
      <c r="F76" s="309"/>
      <c r="G76" s="309"/>
      <c r="H76" s="309"/>
      <c r="I76" s="309">
        <v>52000</v>
      </c>
      <c r="L76" s="311" t="s">
        <v>550</v>
      </c>
      <c r="M76" t="s">
        <v>552</v>
      </c>
    </row>
    <row r="77" spans="1:18">
      <c r="A77" s="322" t="s">
        <v>524</v>
      </c>
      <c r="B77" s="309">
        <v>58000</v>
      </c>
      <c r="C77" s="309"/>
      <c r="D77" s="309"/>
      <c r="E77" s="309"/>
      <c r="F77" s="309"/>
      <c r="G77" s="309"/>
      <c r="H77" s="309"/>
      <c r="I77" s="309">
        <v>58000</v>
      </c>
      <c r="L77" s="312" t="s">
        <v>643</v>
      </c>
      <c r="M77" s="309"/>
    </row>
    <row r="78" spans="1:18">
      <c r="A78" s="312" t="s">
        <v>525</v>
      </c>
      <c r="B78" s="309"/>
      <c r="C78" s="309"/>
      <c r="D78" s="309"/>
      <c r="E78" s="309"/>
      <c r="F78" s="309"/>
      <c r="G78" s="309">
        <v>2000</v>
      </c>
      <c r="H78" s="309"/>
      <c r="I78" s="309">
        <v>2000</v>
      </c>
      <c r="L78" s="318" t="s">
        <v>67</v>
      </c>
      <c r="M78" s="309">
        <v>110000</v>
      </c>
    </row>
    <row r="79" spans="1:18">
      <c r="A79" s="318" t="s">
        <v>525</v>
      </c>
      <c r="B79" s="309"/>
      <c r="C79" s="309"/>
      <c r="D79" s="309"/>
      <c r="E79" s="309"/>
      <c r="F79" s="309"/>
      <c r="G79" s="309">
        <v>2000</v>
      </c>
      <c r="H79" s="309"/>
      <c r="I79" s="309">
        <v>2000</v>
      </c>
      <c r="L79" s="322" t="s">
        <v>205</v>
      </c>
      <c r="M79" s="309">
        <v>52000</v>
      </c>
    </row>
    <row r="80" spans="1:18">
      <c r="A80" s="322" t="s">
        <v>525</v>
      </c>
      <c r="B80" s="309"/>
      <c r="C80" s="309"/>
      <c r="D80" s="309"/>
      <c r="E80" s="309"/>
      <c r="F80" s="309"/>
      <c r="G80" s="309">
        <v>2000</v>
      </c>
      <c r="H80" s="309"/>
      <c r="I80" s="309">
        <v>2000</v>
      </c>
      <c r="L80" s="322" t="s">
        <v>524</v>
      </c>
      <c r="M80" s="309">
        <v>58000</v>
      </c>
    </row>
    <row r="81" spans="1:13">
      <c r="A81" s="312" t="s">
        <v>642</v>
      </c>
      <c r="B81" s="309"/>
      <c r="C81" s="309">
        <v>74000</v>
      </c>
      <c r="D81" s="309"/>
      <c r="E81" s="309"/>
      <c r="F81" s="309">
        <v>4500</v>
      </c>
      <c r="G81" s="309"/>
      <c r="H81" s="309"/>
      <c r="I81" s="309">
        <v>78500</v>
      </c>
      <c r="L81" s="318" t="s">
        <v>212</v>
      </c>
      <c r="M81" s="309">
        <v>74000</v>
      </c>
    </row>
    <row r="82" spans="1:13">
      <c r="A82" s="318" t="s">
        <v>209</v>
      </c>
      <c r="B82" s="309"/>
      <c r="C82" s="309"/>
      <c r="D82" s="309"/>
      <c r="E82" s="309"/>
      <c r="F82" s="309">
        <v>4500</v>
      </c>
      <c r="G82" s="309"/>
      <c r="H82" s="309"/>
      <c r="I82" s="309">
        <v>4500</v>
      </c>
      <c r="L82" s="322" t="s">
        <v>211</v>
      </c>
      <c r="M82" s="309">
        <v>36000</v>
      </c>
    </row>
    <row r="83" spans="1:13">
      <c r="A83" s="322" t="s">
        <v>209</v>
      </c>
      <c r="B83" s="309"/>
      <c r="C83" s="309"/>
      <c r="D83" s="309"/>
      <c r="E83" s="309"/>
      <c r="F83" s="309">
        <v>4500</v>
      </c>
      <c r="G83" s="309"/>
      <c r="H83" s="309"/>
      <c r="I83" s="309">
        <v>4500</v>
      </c>
      <c r="L83" s="322" t="s">
        <v>549</v>
      </c>
      <c r="M83" s="309">
        <v>38000</v>
      </c>
    </row>
    <row r="84" spans="1:13">
      <c r="A84" s="318" t="s">
        <v>211</v>
      </c>
      <c r="B84" s="309"/>
      <c r="C84" s="309">
        <v>36000</v>
      </c>
      <c r="D84" s="309"/>
      <c r="E84" s="309"/>
      <c r="F84" s="309"/>
      <c r="G84" s="309"/>
      <c r="H84" s="309"/>
      <c r="I84" s="309">
        <v>36000</v>
      </c>
      <c r="L84" s="312" t="s">
        <v>644</v>
      </c>
      <c r="M84" s="309"/>
    </row>
    <row r="85" spans="1:13">
      <c r="A85" s="322" t="s">
        <v>211</v>
      </c>
      <c r="B85" s="309"/>
      <c r="C85" s="309">
        <v>36000</v>
      </c>
      <c r="D85" s="309"/>
      <c r="E85" s="309"/>
      <c r="F85" s="309"/>
      <c r="G85" s="309"/>
      <c r="H85" s="309"/>
      <c r="I85" s="309">
        <v>36000</v>
      </c>
      <c r="L85" s="318" t="s">
        <v>208</v>
      </c>
      <c r="M85" s="309">
        <v>69000</v>
      </c>
    </row>
    <row r="86" spans="1:13">
      <c r="A86" s="318" t="s">
        <v>549</v>
      </c>
      <c r="B86" s="309"/>
      <c r="C86" s="309">
        <v>38000</v>
      </c>
      <c r="D86" s="309"/>
      <c r="E86" s="309"/>
      <c r="F86" s="309"/>
      <c r="G86" s="309"/>
      <c r="H86" s="309"/>
      <c r="I86" s="309">
        <v>38000</v>
      </c>
      <c r="L86" s="322" t="s">
        <v>207</v>
      </c>
      <c r="M86" s="309">
        <v>25000</v>
      </c>
    </row>
    <row r="87" spans="1:13">
      <c r="A87" s="322" t="s">
        <v>549</v>
      </c>
      <c r="B87" s="309"/>
      <c r="C87" s="309">
        <v>38000</v>
      </c>
      <c r="D87" s="309"/>
      <c r="E87" s="309"/>
      <c r="F87" s="309"/>
      <c r="G87" s="309"/>
      <c r="H87" s="309"/>
      <c r="I87" s="309">
        <v>38000</v>
      </c>
      <c r="L87" s="322" t="s">
        <v>215</v>
      </c>
      <c r="M87" s="309">
        <v>44000</v>
      </c>
    </row>
    <row r="88" spans="1:13">
      <c r="A88" s="312" t="s">
        <v>637</v>
      </c>
      <c r="B88" s="309"/>
      <c r="C88" s="309"/>
      <c r="D88" s="309">
        <v>69000</v>
      </c>
      <c r="E88" s="309">
        <v>11000</v>
      </c>
      <c r="F88" s="309"/>
      <c r="G88" s="309"/>
      <c r="H88" s="309"/>
      <c r="I88" s="309">
        <v>80000</v>
      </c>
      <c r="L88" s="318" t="s">
        <v>50</v>
      </c>
      <c r="M88" s="309">
        <v>11000</v>
      </c>
    </row>
    <row r="89" spans="1:13">
      <c r="A89" s="318" t="s">
        <v>637</v>
      </c>
      <c r="B89" s="309"/>
      <c r="C89" s="309"/>
      <c r="D89" s="309">
        <v>69000</v>
      </c>
      <c r="E89" s="309">
        <v>11000</v>
      </c>
      <c r="F89" s="309"/>
      <c r="G89" s="309"/>
      <c r="H89" s="309"/>
      <c r="I89" s="309">
        <v>80000</v>
      </c>
      <c r="L89" s="322" t="s">
        <v>213</v>
      </c>
      <c r="M89" s="309">
        <v>11000</v>
      </c>
    </row>
    <row r="90" spans="1:13">
      <c r="A90" s="322" t="s">
        <v>213</v>
      </c>
      <c r="B90" s="309"/>
      <c r="C90" s="309"/>
      <c r="D90" s="309"/>
      <c r="E90" s="309">
        <v>11000</v>
      </c>
      <c r="F90" s="309"/>
      <c r="G90" s="309"/>
      <c r="H90" s="309"/>
      <c r="I90" s="309">
        <v>11000</v>
      </c>
      <c r="L90" s="312" t="s">
        <v>71</v>
      </c>
      <c r="M90" s="309"/>
    </row>
    <row r="91" spans="1:13">
      <c r="A91" s="322" t="s">
        <v>207</v>
      </c>
      <c r="B91" s="309"/>
      <c r="C91" s="309"/>
      <c r="D91" s="309">
        <v>25000</v>
      </c>
      <c r="E91" s="309"/>
      <c r="F91" s="309"/>
      <c r="G91" s="309"/>
      <c r="H91" s="309"/>
      <c r="I91" s="309">
        <v>25000</v>
      </c>
      <c r="L91" s="318" t="s">
        <v>71</v>
      </c>
      <c r="M91" s="309">
        <v>4500</v>
      </c>
    </row>
    <row r="92" spans="1:13">
      <c r="A92" s="322" t="s">
        <v>215</v>
      </c>
      <c r="B92" s="309"/>
      <c r="C92" s="309"/>
      <c r="D92" s="309">
        <v>44000</v>
      </c>
      <c r="E92" s="309"/>
      <c r="F92" s="309"/>
      <c r="G92" s="309"/>
      <c r="H92" s="309"/>
      <c r="I92" s="309">
        <v>44000</v>
      </c>
      <c r="L92" s="322" t="s">
        <v>209</v>
      </c>
      <c r="M92" s="309">
        <v>4500</v>
      </c>
    </row>
    <row r="93" spans="1:13">
      <c r="A93" s="312" t="s">
        <v>206</v>
      </c>
      <c r="B93" s="309"/>
      <c r="C93" s="309"/>
      <c r="D93" s="309"/>
      <c r="E93" s="309"/>
      <c r="F93" s="309"/>
      <c r="G93" s="309"/>
      <c r="H93" s="309">
        <v>1200</v>
      </c>
      <c r="I93" s="309">
        <v>1200</v>
      </c>
      <c r="L93" s="312" t="s">
        <v>645</v>
      </c>
      <c r="M93" s="309"/>
    </row>
    <row r="94" spans="1:13">
      <c r="A94" s="318" t="s">
        <v>206</v>
      </c>
      <c r="B94" s="309"/>
      <c r="C94" s="309"/>
      <c r="D94" s="309"/>
      <c r="E94" s="309"/>
      <c r="F94" s="309"/>
      <c r="G94" s="309"/>
      <c r="H94" s="309">
        <v>1200</v>
      </c>
      <c r="I94" s="309">
        <v>1200</v>
      </c>
      <c r="L94" s="318" t="s">
        <v>58</v>
      </c>
      <c r="M94" s="309">
        <v>2000</v>
      </c>
    </row>
    <row r="95" spans="1:13">
      <c r="A95" s="322" t="s">
        <v>206</v>
      </c>
      <c r="B95" s="309"/>
      <c r="C95" s="309"/>
      <c r="D95" s="309"/>
      <c r="E95" s="309"/>
      <c r="F95" s="309"/>
      <c r="G95" s="309"/>
      <c r="H95" s="309">
        <v>1200</v>
      </c>
      <c r="I95" s="309">
        <v>1200</v>
      </c>
      <c r="L95" s="322" t="s">
        <v>525</v>
      </c>
      <c r="M95" s="309">
        <v>2000</v>
      </c>
    </row>
    <row r="96" spans="1:13">
      <c r="A96" s="312" t="s">
        <v>551</v>
      </c>
      <c r="B96" s="309">
        <v>110000</v>
      </c>
      <c r="C96" s="309">
        <v>74000</v>
      </c>
      <c r="D96" s="309">
        <v>69000</v>
      </c>
      <c r="E96" s="309">
        <v>11000</v>
      </c>
      <c r="F96" s="309">
        <v>4500</v>
      </c>
      <c r="G96" s="309">
        <v>2000</v>
      </c>
      <c r="H96" s="309">
        <v>1200</v>
      </c>
      <c r="I96" s="309">
        <v>271700</v>
      </c>
      <c r="L96" s="318" t="s">
        <v>68</v>
      </c>
      <c r="M96" s="309">
        <v>1200</v>
      </c>
    </row>
    <row r="97" spans="1:13">
      <c r="L97" s="322" t="s">
        <v>206</v>
      </c>
      <c r="M97" s="309">
        <v>1200</v>
      </c>
    </row>
    <row r="98" spans="1:13">
      <c r="L98" s="312" t="s">
        <v>551</v>
      </c>
      <c r="M98" s="309">
        <v>271700</v>
      </c>
    </row>
    <row r="102" spans="1:13">
      <c r="A102" s="270" t="s">
        <v>646</v>
      </c>
      <c r="B102" s="271"/>
      <c r="C102" s="271"/>
      <c r="D102" s="271"/>
      <c r="E102" s="271"/>
      <c r="F102" s="271"/>
    </row>
    <row r="104" spans="1:13">
      <c r="A104" s="23" t="s">
        <v>647</v>
      </c>
      <c r="B104" t="s">
        <v>648</v>
      </c>
    </row>
    <row r="105" spans="1:13">
      <c r="B105" t="s">
        <v>649</v>
      </c>
    </row>
    <row r="106" spans="1:13">
      <c r="B106" t="s">
        <v>650</v>
      </c>
    </row>
    <row r="107" spans="1:13">
      <c r="A107" s="23" t="s">
        <v>651</v>
      </c>
      <c r="B107" t="s">
        <v>652</v>
      </c>
    </row>
    <row r="108" spans="1:13">
      <c r="B108" t="s">
        <v>653</v>
      </c>
    </row>
    <row r="109" spans="1:13">
      <c r="B109" t="s">
        <v>654</v>
      </c>
    </row>
  </sheetData>
  <conditionalFormatting pivot="1" sqref="R58:R59 R62 R65 R67 R69 R72">
    <cfRule type="cellIs" dxfId="1" priority="2" operator="greaterThan">
      <formula>29600</formula>
    </cfRule>
  </conditionalFormatting>
  <conditionalFormatting pivot="1" sqref="I76:I77 I80 I83 I85 I87 I90:I92 I95">
    <cfRule type="iconSet" priority="1">
      <iconSet iconSet="3Arrows">
        <cfvo type="percent" val="0"/>
        <cfvo type="percent" val="33"/>
        <cfvo type="percent" val="67"/>
      </iconSet>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99000-2E10-45D9-90BB-FABBF7C577FE}">
  <sheetPr codeName="Sheet16"/>
  <dimension ref="A1:R94"/>
  <sheetViews>
    <sheetView topLeftCell="A81" workbookViewId="0">
      <selection activeCell="F88" sqref="F88"/>
    </sheetView>
  </sheetViews>
  <sheetFormatPr defaultRowHeight="15"/>
  <cols>
    <col min="1" max="1" width="14.140625" customWidth="1"/>
    <col min="2" max="2" width="19.42578125" customWidth="1"/>
    <col min="3" max="3" width="12.85546875" customWidth="1"/>
    <col min="4" max="4" width="15" customWidth="1"/>
    <col min="5" max="5" width="17" customWidth="1"/>
    <col min="6" max="6" width="15" customWidth="1"/>
    <col min="7" max="7" width="22.85546875" customWidth="1"/>
    <col min="8" max="8" width="15.140625" customWidth="1"/>
    <col min="9" max="9" width="10.140625" bestFit="1" customWidth="1"/>
    <col min="10" max="10" width="17.42578125" customWidth="1"/>
    <col min="11" max="11" width="11.5703125" bestFit="1" customWidth="1"/>
    <col min="12" max="12" width="6" bestFit="1" customWidth="1"/>
    <col min="13" max="13" width="12.140625" customWidth="1"/>
    <col min="14" max="14" width="9.85546875" customWidth="1"/>
    <col min="15" max="15" width="10.28515625" customWidth="1"/>
  </cols>
  <sheetData>
    <row r="1" spans="1:18">
      <c r="A1" s="1" t="s">
        <v>655</v>
      </c>
      <c r="B1" s="1" t="s">
        <v>49</v>
      </c>
      <c r="C1" s="1" t="s">
        <v>656</v>
      </c>
      <c r="D1" s="347" t="s">
        <v>72</v>
      </c>
      <c r="E1" s="1"/>
    </row>
    <row r="2" spans="1:18">
      <c r="A2" s="2" t="s">
        <v>657</v>
      </c>
      <c r="B2" s="2" t="s">
        <v>67</v>
      </c>
      <c r="C2" s="2" t="s">
        <v>658</v>
      </c>
      <c r="D2" s="3">
        <v>52000</v>
      </c>
      <c r="E2" s="355"/>
      <c r="F2" s="319" t="s">
        <v>670</v>
      </c>
      <c r="G2" s="36"/>
      <c r="H2" s="36"/>
      <c r="I2" s="36"/>
      <c r="J2" s="36"/>
      <c r="K2" s="36"/>
      <c r="L2" s="36"/>
      <c r="M2" s="36"/>
    </row>
    <row r="3" spans="1:18">
      <c r="A3" s="2" t="s">
        <v>659</v>
      </c>
      <c r="B3" s="2" t="s">
        <v>68</v>
      </c>
      <c r="C3" s="2" t="s">
        <v>660</v>
      </c>
      <c r="D3" s="3">
        <v>1200</v>
      </c>
      <c r="E3" s="355"/>
    </row>
    <row r="4" spans="1:18">
      <c r="A4" s="2" t="s">
        <v>661</v>
      </c>
      <c r="B4" s="2" t="s">
        <v>208</v>
      </c>
      <c r="C4" s="2" t="s">
        <v>658</v>
      </c>
      <c r="D4" s="3">
        <v>25000</v>
      </c>
      <c r="E4" s="355"/>
      <c r="F4" s="348" t="s">
        <v>655</v>
      </c>
      <c r="G4" s="349" t="s">
        <v>662</v>
      </c>
    </row>
    <row r="5" spans="1:18">
      <c r="A5" s="2" t="s">
        <v>662</v>
      </c>
      <c r="B5" s="2" t="s">
        <v>71</v>
      </c>
      <c r="C5" s="2" t="s">
        <v>660</v>
      </c>
      <c r="D5" s="3">
        <v>4500</v>
      </c>
      <c r="E5" s="355"/>
      <c r="F5" s="348" t="s">
        <v>72</v>
      </c>
      <c r="G5" s="247">
        <f>VLOOKUP(G4,A1:D11,4,0)</f>
        <v>4500</v>
      </c>
    </row>
    <row r="6" spans="1:18">
      <c r="A6" s="2" t="s">
        <v>663</v>
      </c>
      <c r="B6" s="2" t="s">
        <v>212</v>
      </c>
      <c r="C6" s="2" t="s">
        <v>658</v>
      </c>
      <c r="D6" s="3">
        <v>36000</v>
      </c>
      <c r="E6" s="355"/>
      <c r="F6" s="1"/>
    </row>
    <row r="7" spans="1:18">
      <c r="A7" s="2" t="s">
        <v>664</v>
      </c>
      <c r="B7" s="2" t="s">
        <v>50</v>
      </c>
      <c r="C7" s="2" t="s">
        <v>665</v>
      </c>
      <c r="D7" s="3">
        <v>11000</v>
      </c>
      <c r="E7" s="355"/>
      <c r="F7" s="347"/>
    </row>
    <row r="8" spans="1:18">
      <c r="A8" s="2" t="s">
        <v>666</v>
      </c>
      <c r="B8" s="2" t="s">
        <v>58</v>
      </c>
      <c r="C8" s="2" t="s">
        <v>660</v>
      </c>
      <c r="D8" s="3">
        <v>2000</v>
      </c>
      <c r="E8" s="355"/>
    </row>
    <row r="9" spans="1:18">
      <c r="A9" s="2" t="s">
        <v>667</v>
      </c>
      <c r="B9" s="2" t="s">
        <v>69</v>
      </c>
      <c r="C9" s="2" t="s">
        <v>658</v>
      </c>
      <c r="D9" s="3">
        <v>15000</v>
      </c>
      <c r="E9" s="355"/>
    </row>
    <row r="10" spans="1:18">
      <c r="A10" s="2" t="s">
        <v>668</v>
      </c>
      <c r="B10" s="2" t="s">
        <v>54</v>
      </c>
      <c r="C10" s="2" t="s">
        <v>660</v>
      </c>
      <c r="D10" s="3">
        <v>3000</v>
      </c>
      <c r="E10" s="355"/>
    </row>
    <row r="11" spans="1:18">
      <c r="A11" s="2" t="s">
        <v>669</v>
      </c>
      <c r="B11" s="2" t="s">
        <v>141</v>
      </c>
      <c r="C11" s="2" t="s">
        <v>665</v>
      </c>
      <c r="D11" s="3">
        <v>2500</v>
      </c>
      <c r="E11" s="355"/>
      <c r="J11" t="s">
        <v>60</v>
      </c>
    </row>
    <row r="14" spans="1:18">
      <c r="A14" s="337" t="s">
        <v>671</v>
      </c>
      <c r="B14" s="338"/>
      <c r="C14" s="338"/>
      <c r="D14" s="338"/>
      <c r="E14" s="338"/>
      <c r="F14" s="338"/>
      <c r="M14" s="352" t="s">
        <v>675</v>
      </c>
      <c r="N14" s="55"/>
      <c r="O14" s="55"/>
      <c r="P14" s="55"/>
      <c r="Q14" s="55"/>
      <c r="R14" s="55"/>
    </row>
    <row r="15" spans="1:18">
      <c r="B15" s="23" t="s">
        <v>672</v>
      </c>
      <c r="G15" s="23" t="s">
        <v>673</v>
      </c>
      <c r="H15" s="23"/>
    </row>
    <row r="16" spans="1:18">
      <c r="B16" t="str">
        <f>VLOOKUP("P004", A1:D11, 2, FALSE)</f>
        <v>Headphones</v>
      </c>
      <c r="G16">
        <f>VLOOKUP("P006", A1:D11, 4, FALSE)</f>
        <v>11000</v>
      </c>
      <c r="L16" s="23" t="s">
        <v>676</v>
      </c>
      <c r="M16" s="22" t="s">
        <v>677</v>
      </c>
    </row>
    <row r="17" spans="1:15">
      <c r="M17" t="str">
        <f>IFERROR(VLOOKUP(M16, A1:D11, 2, FALSE), "Not Found")</f>
        <v>Not Found</v>
      </c>
    </row>
    <row r="19" spans="1:15">
      <c r="B19" s="23" t="s">
        <v>674</v>
      </c>
    </row>
    <row r="20" spans="1:15">
      <c r="A20" s="23" t="s">
        <v>655</v>
      </c>
      <c r="B20" t="s">
        <v>661</v>
      </c>
    </row>
    <row r="21" spans="1:15">
      <c r="B21" t="str">
        <f>VLOOKUP(B20,A1:D11, 3, FALSE)</f>
        <v>Computing</v>
      </c>
    </row>
    <row r="23" spans="1:15">
      <c r="H23" s="353" t="s">
        <v>689</v>
      </c>
      <c r="I23" s="354"/>
      <c r="J23" s="354"/>
      <c r="K23" s="354"/>
      <c r="L23" s="354"/>
      <c r="M23" s="354"/>
      <c r="N23" s="354"/>
      <c r="O23" s="354"/>
    </row>
    <row r="24" spans="1:15">
      <c r="A24" s="87" t="s">
        <v>678</v>
      </c>
      <c r="B24" s="88"/>
      <c r="C24" s="88"/>
      <c r="D24" s="88"/>
      <c r="E24" s="88"/>
      <c r="H24" s="23" t="s">
        <v>655</v>
      </c>
      <c r="I24" s="22" t="s">
        <v>690</v>
      </c>
    </row>
    <row r="25" spans="1:15">
      <c r="H25" s="1"/>
      <c r="I25" s="1">
        <f>VLOOKUP(I24,A1:D11,4,1)</f>
        <v>2500</v>
      </c>
      <c r="J25" s="1"/>
      <c r="K25" s="1"/>
    </row>
    <row r="26" spans="1:15">
      <c r="A26" t="s">
        <v>679</v>
      </c>
      <c r="H26" s="2"/>
      <c r="I26" s="2"/>
      <c r="J26" s="356"/>
      <c r="K26" s="356"/>
    </row>
    <row r="27" spans="1:15">
      <c r="A27" t="s">
        <v>680</v>
      </c>
      <c r="H27" s="2"/>
      <c r="I27" s="2"/>
      <c r="J27" s="356"/>
      <c r="K27" s="356"/>
    </row>
    <row r="28" spans="1:15" ht="22.5" customHeight="1">
      <c r="A28" t="s">
        <v>681</v>
      </c>
      <c r="B28" t="s">
        <v>682</v>
      </c>
      <c r="H28" s="2"/>
      <c r="I28" s="2"/>
      <c r="J28" s="356"/>
      <c r="K28" s="356"/>
    </row>
    <row r="29" spans="1:15" ht="17.25" customHeight="1">
      <c r="A29" t="s">
        <v>683</v>
      </c>
      <c r="B29" t="s">
        <v>684</v>
      </c>
      <c r="H29" s="2"/>
      <c r="I29" s="343" t="s">
        <v>698</v>
      </c>
      <c r="J29" s="357"/>
      <c r="K29" s="357"/>
      <c r="L29" s="344"/>
      <c r="M29" s="344"/>
    </row>
    <row r="30" spans="1:15">
      <c r="A30" t="s">
        <v>685</v>
      </c>
      <c r="B30" t="s">
        <v>686</v>
      </c>
      <c r="H30" s="2"/>
      <c r="I30" s="2"/>
      <c r="J30" s="356"/>
    </row>
    <row r="31" spans="1:15">
      <c r="A31" t="s">
        <v>687</v>
      </c>
      <c r="B31" t="s">
        <v>688</v>
      </c>
      <c r="H31" s="2"/>
      <c r="I31" s="1"/>
      <c r="J31" s="1"/>
      <c r="K31" s="1"/>
      <c r="L31" s="1"/>
    </row>
    <row r="32" spans="1:15">
      <c r="H32" s="2"/>
      <c r="I32" s="2" t="s">
        <v>655</v>
      </c>
      <c r="J32" s="2" t="s">
        <v>49</v>
      </c>
      <c r="K32" s="2" t="s">
        <v>656</v>
      </c>
      <c r="L32" s="2" t="s">
        <v>72</v>
      </c>
    </row>
    <row r="33" spans="1:15">
      <c r="H33" s="2"/>
      <c r="I33" s="2" t="s">
        <v>657</v>
      </c>
      <c r="J33" s="2" t="s">
        <v>67</v>
      </c>
      <c r="K33" s="2" t="s">
        <v>658</v>
      </c>
      <c r="L33" s="2">
        <v>52000</v>
      </c>
    </row>
    <row r="34" spans="1:15">
      <c r="A34" s="337" t="s">
        <v>691</v>
      </c>
      <c r="B34" s="338"/>
      <c r="C34" s="338"/>
      <c r="D34" s="338"/>
      <c r="E34" s="338"/>
      <c r="F34" s="338"/>
      <c r="H34" s="2"/>
      <c r="I34" s="2" t="s">
        <v>659</v>
      </c>
      <c r="J34" s="2" t="s">
        <v>68</v>
      </c>
      <c r="K34" s="2" t="s">
        <v>660</v>
      </c>
      <c r="L34" s="2">
        <v>1200</v>
      </c>
    </row>
    <row r="35" spans="1:15">
      <c r="H35" s="2"/>
      <c r="I35" s="2" t="s">
        <v>661</v>
      </c>
      <c r="J35" s="2" t="s">
        <v>208</v>
      </c>
      <c r="K35" s="2" t="s">
        <v>658</v>
      </c>
      <c r="L35" s="2">
        <v>25000</v>
      </c>
    </row>
    <row r="36" spans="1:15">
      <c r="A36" s="23" t="s">
        <v>692</v>
      </c>
      <c r="B36" t="s">
        <v>693</v>
      </c>
      <c r="I36" s="2"/>
      <c r="J36" s="2"/>
      <c r="K36" s="2"/>
      <c r="L36" s="2"/>
    </row>
    <row r="37" spans="1:15" ht="30">
      <c r="B37" s="22" t="s">
        <v>696</v>
      </c>
      <c r="I37" s="280" t="s">
        <v>655</v>
      </c>
      <c r="J37" s="213" t="s">
        <v>659</v>
      </c>
    </row>
    <row r="38" spans="1:15">
      <c r="A38" s="23" t="s">
        <v>695</v>
      </c>
      <c r="B38" t="s">
        <v>694</v>
      </c>
      <c r="J38" t="str">
        <f>VLOOKUP(J37,ProTable,3,0)</f>
        <v>Accessories</v>
      </c>
    </row>
    <row r="39" spans="1:15">
      <c r="B39" s="22" t="s">
        <v>697</v>
      </c>
    </row>
    <row r="41" spans="1:15" ht="15.75">
      <c r="I41" s="359" t="s">
        <v>704</v>
      </c>
      <c r="J41" s="360"/>
      <c r="K41" s="360"/>
      <c r="L41" s="360"/>
      <c r="M41" s="360"/>
      <c r="N41" s="360"/>
      <c r="O41" s="358"/>
    </row>
    <row r="42" spans="1:15">
      <c r="A42" s="292" t="s">
        <v>699</v>
      </c>
      <c r="B42" s="294"/>
      <c r="C42" s="294"/>
      <c r="D42" s="294"/>
      <c r="E42" s="294"/>
    </row>
    <row r="43" spans="1:15">
      <c r="B43" t="s">
        <v>700</v>
      </c>
      <c r="J43" t="s">
        <v>705</v>
      </c>
      <c r="K43" s="22" t="s">
        <v>707</v>
      </c>
    </row>
    <row r="44" spans="1:15">
      <c r="A44" s="23" t="s">
        <v>655</v>
      </c>
      <c r="B44" t="s">
        <v>664</v>
      </c>
      <c r="J44" t="s">
        <v>706</v>
      </c>
      <c r="K44" s="22" t="s">
        <v>708</v>
      </c>
    </row>
    <row r="45" spans="1:15">
      <c r="B45" t="str">
        <f>IF(VLOOKUP(B44, A2:D11, 4, FALSE) &gt; 20000, "High Price", "Low Price")</f>
        <v>Low Price</v>
      </c>
      <c r="K45" s="22" t="s">
        <v>709</v>
      </c>
    </row>
    <row r="47" spans="1:15">
      <c r="B47" t="s">
        <v>701</v>
      </c>
    </row>
    <row r="48" spans="1:15">
      <c r="A48" s="23" t="s">
        <v>655</v>
      </c>
      <c r="B48" s="22" t="s">
        <v>659</v>
      </c>
    </row>
    <row r="49" spans="1:13">
      <c r="B49">
        <f>VLOOKUP(B48,A1:D11,MATCH("Price",A1:D1,0),0)</f>
        <v>1200</v>
      </c>
    </row>
    <row r="52" spans="1:13">
      <c r="B52" t="s">
        <v>702</v>
      </c>
    </row>
    <row r="53" spans="1:13">
      <c r="A53" s="226" t="s">
        <v>655</v>
      </c>
      <c r="B53" t="s">
        <v>703</v>
      </c>
    </row>
    <row r="54" spans="1:13">
      <c r="B54" t="str">
        <f>IFERROR(VLOOKUP(B53, A2:D11, 4, FALSE), "Not Found")</f>
        <v>Not Found</v>
      </c>
    </row>
    <row r="56" spans="1:13" ht="23.25">
      <c r="C56" s="363" t="s">
        <v>710</v>
      </c>
      <c r="D56" s="363"/>
      <c r="E56" s="363"/>
      <c r="F56" s="364"/>
    </row>
    <row r="58" spans="1:13">
      <c r="A58" s="365" t="s">
        <v>655</v>
      </c>
      <c r="B58" s="365" t="s">
        <v>49</v>
      </c>
      <c r="C58" s="365" t="s">
        <v>656</v>
      </c>
      <c r="D58" s="365" t="s">
        <v>72</v>
      </c>
      <c r="E58" s="366"/>
      <c r="F58" s="366"/>
      <c r="I58" s="242" t="s">
        <v>716</v>
      </c>
      <c r="J58" s="178"/>
      <c r="K58" s="178"/>
      <c r="L58" s="178"/>
      <c r="M58" s="178"/>
    </row>
    <row r="59" spans="1:13">
      <c r="A59" s="367" t="s">
        <v>657</v>
      </c>
      <c r="B59" s="367" t="s">
        <v>67</v>
      </c>
      <c r="C59" s="367" t="s">
        <v>658</v>
      </c>
      <c r="D59" s="367">
        <v>52000</v>
      </c>
      <c r="E59" s="366"/>
      <c r="F59" s="366"/>
    </row>
    <row r="60" spans="1:13">
      <c r="A60" s="367" t="s">
        <v>659</v>
      </c>
      <c r="B60" s="367" t="s">
        <v>68</v>
      </c>
      <c r="C60" s="367" t="s">
        <v>660</v>
      </c>
      <c r="D60" s="367">
        <v>1200</v>
      </c>
      <c r="E60" s="367" t="s">
        <v>711</v>
      </c>
      <c r="F60" s="367" t="s">
        <v>712</v>
      </c>
      <c r="I60" t="s">
        <v>655</v>
      </c>
      <c r="J60" t="s">
        <v>661</v>
      </c>
    </row>
    <row r="61" spans="1:13">
      <c r="A61" s="367" t="s">
        <v>661</v>
      </c>
      <c r="B61" s="367" t="s">
        <v>208</v>
      </c>
      <c r="C61" s="367" t="s">
        <v>658</v>
      </c>
      <c r="D61" s="367">
        <v>25000</v>
      </c>
      <c r="E61" s="366"/>
      <c r="F61" s="366"/>
      <c r="J61" t="str">
        <f>VLOOKUP(J60,A58:D63,2,0)</f>
        <v>Smartphone</v>
      </c>
    </row>
    <row r="62" spans="1:13">
      <c r="A62" s="367" t="s">
        <v>662</v>
      </c>
      <c r="B62" s="367" t="s">
        <v>71</v>
      </c>
      <c r="C62" s="367" t="s">
        <v>660</v>
      </c>
      <c r="D62" s="367">
        <v>4500</v>
      </c>
      <c r="E62" s="366"/>
      <c r="F62" s="366"/>
    </row>
    <row r="63" spans="1:13">
      <c r="A63" s="367" t="s">
        <v>663</v>
      </c>
      <c r="B63" s="367" t="s">
        <v>212</v>
      </c>
      <c r="C63" s="367" t="s">
        <v>658</v>
      </c>
      <c r="D63" s="367">
        <v>36000</v>
      </c>
      <c r="E63" s="366"/>
      <c r="F63" s="366"/>
    </row>
    <row r="64" spans="1:13">
      <c r="I64" s="372" t="s">
        <v>717</v>
      </c>
      <c r="J64" s="294"/>
      <c r="K64" s="294"/>
      <c r="L64" s="294"/>
      <c r="M64" s="294"/>
    </row>
    <row r="66" spans="1:10" ht="19.5" customHeight="1">
      <c r="A66" s="368" t="s">
        <v>655</v>
      </c>
      <c r="B66" s="368" t="s">
        <v>657</v>
      </c>
      <c r="C66" s="368" t="s">
        <v>659</v>
      </c>
      <c r="D66" s="368" t="s">
        <v>661</v>
      </c>
      <c r="E66" s="368" t="s">
        <v>662</v>
      </c>
      <c r="F66" s="368" t="s">
        <v>663</v>
      </c>
      <c r="G66" s="369" t="s">
        <v>713</v>
      </c>
      <c r="I66" s="368" t="s">
        <v>655</v>
      </c>
      <c r="J66" s="368" t="s">
        <v>661</v>
      </c>
    </row>
    <row r="67" spans="1:10">
      <c r="A67" s="373" t="s">
        <v>49</v>
      </c>
      <c r="B67" s="370" t="s">
        <v>67</v>
      </c>
      <c r="C67" s="370" t="s">
        <v>68</v>
      </c>
      <c r="D67" s="370" t="s">
        <v>208</v>
      </c>
      <c r="E67" s="370" t="s">
        <v>71</v>
      </c>
      <c r="F67" s="370" t="s">
        <v>212</v>
      </c>
      <c r="G67" s="370" t="s">
        <v>714</v>
      </c>
      <c r="J67" t="str">
        <f>HLOOKUP(J66,A66:F69,2,0)</f>
        <v>Smartphone</v>
      </c>
    </row>
    <row r="68" spans="1:10">
      <c r="A68" s="370" t="s">
        <v>656</v>
      </c>
      <c r="B68" s="370" t="s">
        <v>658</v>
      </c>
      <c r="C68" s="370" t="s">
        <v>660</v>
      </c>
      <c r="D68" s="370" t="s">
        <v>658</v>
      </c>
      <c r="E68" s="370" t="s">
        <v>660</v>
      </c>
      <c r="F68" s="370" t="s">
        <v>658</v>
      </c>
      <c r="G68" s="370" t="s">
        <v>715</v>
      </c>
    </row>
    <row r="69" spans="1:10">
      <c r="A69" s="370" t="s">
        <v>72</v>
      </c>
      <c r="B69" s="370">
        <v>52000</v>
      </c>
      <c r="C69" s="370">
        <v>1200</v>
      </c>
      <c r="D69" s="370">
        <v>25000</v>
      </c>
      <c r="E69" s="370">
        <v>4500</v>
      </c>
      <c r="F69" s="370">
        <v>36000</v>
      </c>
      <c r="G69" s="115"/>
    </row>
    <row r="72" spans="1:10">
      <c r="A72" s="374" t="s">
        <v>718</v>
      </c>
      <c r="B72" s="375"/>
      <c r="C72" s="375"/>
      <c r="D72" s="375"/>
    </row>
    <row r="74" spans="1:10">
      <c r="A74" t="s">
        <v>719</v>
      </c>
      <c r="B74" t="s">
        <v>679</v>
      </c>
    </row>
    <row r="75" spans="1:10">
      <c r="B75" s="22" t="s">
        <v>722</v>
      </c>
    </row>
    <row r="77" spans="1:10">
      <c r="A77" t="s">
        <v>720</v>
      </c>
      <c r="B77" s="22" t="s">
        <v>721</v>
      </c>
    </row>
    <row r="78" spans="1:10">
      <c r="B78" s="22" t="s">
        <v>723</v>
      </c>
    </row>
    <row r="81" spans="1:6">
      <c r="A81" s="376" t="s">
        <v>724</v>
      </c>
      <c r="B81" s="338"/>
      <c r="C81" s="338"/>
      <c r="D81" s="338"/>
      <c r="E81" s="338"/>
      <c r="F81" s="111"/>
    </row>
    <row r="83" spans="1:6">
      <c r="B83" t="s">
        <v>728</v>
      </c>
    </row>
    <row r="84" spans="1:6">
      <c r="A84" s="22" t="s">
        <v>730</v>
      </c>
    </row>
    <row r="85" spans="1:6">
      <c r="A85" s="22" t="s">
        <v>729</v>
      </c>
    </row>
    <row r="86" spans="1:6">
      <c r="A86" t="s">
        <v>725</v>
      </c>
    </row>
    <row r="87" spans="1:6">
      <c r="A87" t="s">
        <v>726</v>
      </c>
    </row>
    <row r="88" spans="1:6">
      <c r="A88" t="s">
        <v>727</v>
      </c>
    </row>
    <row r="89" spans="1:6">
      <c r="B89" t="s">
        <v>715</v>
      </c>
    </row>
    <row r="90" spans="1:6">
      <c r="A90" s="22" t="s">
        <v>734</v>
      </c>
    </row>
    <row r="91" spans="1:6">
      <c r="A91" s="22" t="s">
        <v>735</v>
      </c>
    </row>
    <row r="92" spans="1:6">
      <c r="A92" t="s">
        <v>731</v>
      </c>
    </row>
    <row r="93" spans="1:6">
      <c r="A93" t="s">
        <v>732</v>
      </c>
    </row>
    <row r="94" spans="1:6">
      <c r="A94" t="s">
        <v>733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B705B-88A4-4274-9F23-B752C37DFF4B}">
  <sheetPr codeName="Sheet17"/>
  <dimension ref="A1:Q66"/>
  <sheetViews>
    <sheetView topLeftCell="A53" workbookViewId="0">
      <selection activeCell="Q68" sqref="Q68"/>
    </sheetView>
  </sheetViews>
  <sheetFormatPr defaultRowHeight="15"/>
  <cols>
    <col min="1" max="1" width="12.5703125" customWidth="1"/>
    <col min="2" max="2" width="14.28515625" customWidth="1"/>
    <col min="3" max="3" width="15.5703125" customWidth="1"/>
    <col min="4" max="4" width="13.140625" customWidth="1"/>
    <col min="5" max="5" width="13.28515625" customWidth="1"/>
    <col min="14" max="14" width="10.7109375" customWidth="1"/>
  </cols>
  <sheetData>
    <row r="1" spans="1:15" ht="30">
      <c r="A1" s="1" t="s">
        <v>655</v>
      </c>
      <c r="B1" s="1" t="s">
        <v>202</v>
      </c>
      <c r="C1" s="1" t="s">
        <v>656</v>
      </c>
      <c r="D1" s="1" t="s">
        <v>312</v>
      </c>
      <c r="E1" s="1" t="s">
        <v>736</v>
      </c>
      <c r="H1" s="319" t="s">
        <v>754</v>
      </c>
      <c r="I1" s="36"/>
      <c r="J1" s="36"/>
      <c r="K1" s="36"/>
      <c r="L1" s="36"/>
      <c r="M1" s="36"/>
      <c r="N1" s="36"/>
      <c r="O1" s="36"/>
    </row>
    <row r="2" spans="1:15" ht="30">
      <c r="A2" s="2" t="s">
        <v>737</v>
      </c>
      <c r="B2" s="2" t="s">
        <v>223</v>
      </c>
      <c r="C2" s="2" t="s">
        <v>660</v>
      </c>
      <c r="D2" s="3">
        <v>1550</v>
      </c>
      <c r="E2" s="328">
        <v>45841</v>
      </c>
    </row>
    <row r="3" spans="1:15" ht="30">
      <c r="A3" s="2" t="s">
        <v>738</v>
      </c>
      <c r="B3" s="2" t="s">
        <v>739</v>
      </c>
      <c r="C3" s="2" t="s">
        <v>658</v>
      </c>
      <c r="D3" s="3">
        <v>88000</v>
      </c>
      <c r="E3" s="328">
        <v>45843</v>
      </c>
      <c r="H3" t="s">
        <v>755</v>
      </c>
      <c r="I3">
        <f>COUNTIF(D2:D11, "&gt;26000")</f>
        <v>3</v>
      </c>
    </row>
    <row r="4" spans="1:15" ht="45">
      <c r="A4" s="2" t="s">
        <v>740</v>
      </c>
      <c r="B4" s="2" t="s">
        <v>57</v>
      </c>
      <c r="C4" s="2" t="s">
        <v>660</v>
      </c>
      <c r="D4" s="3">
        <v>6200</v>
      </c>
      <c r="E4" s="328">
        <v>45844</v>
      </c>
      <c r="H4" t="s">
        <v>756</v>
      </c>
    </row>
    <row r="5" spans="1:15">
      <c r="A5" s="2" t="s">
        <v>741</v>
      </c>
      <c r="B5" s="2" t="s">
        <v>742</v>
      </c>
      <c r="C5" s="2" t="s">
        <v>658</v>
      </c>
      <c r="D5" s="3">
        <v>32500</v>
      </c>
      <c r="E5" s="328">
        <v>45845</v>
      </c>
    </row>
    <row r="6" spans="1:15" ht="30">
      <c r="A6" s="2" t="s">
        <v>743</v>
      </c>
      <c r="B6" s="2" t="s">
        <v>744</v>
      </c>
      <c r="C6" s="2" t="s">
        <v>665</v>
      </c>
      <c r="D6" s="3">
        <v>8400</v>
      </c>
      <c r="E6" s="328">
        <v>45846</v>
      </c>
    </row>
    <row r="7" spans="1:15">
      <c r="A7" s="2" t="s">
        <v>745</v>
      </c>
      <c r="B7" s="2" t="s">
        <v>746</v>
      </c>
      <c r="C7" s="2" t="s">
        <v>658</v>
      </c>
      <c r="D7" s="3">
        <v>21000</v>
      </c>
      <c r="E7" s="328">
        <v>45847</v>
      </c>
      <c r="H7" s="378" t="s">
        <v>757</v>
      </c>
      <c r="I7" s="40"/>
      <c r="J7" s="40"/>
      <c r="K7" s="40"/>
      <c r="L7" s="40"/>
      <c r="M7" s="40"/>
      <c r="N7" s="40"/>
    </row>
    <row r="8" spans="1:15">
      <c r="A8" s="2" t="s">
        <v>747</v>
      </c>
      <c r="B8" s="2" t="s">
        <v>748</v>
      </c>
      <c r="C8" s="2" t="s">
        <v>749</v>
      </c>
      <c r="D8" s="3">
        <v>12300</v>
      </c>
      <c r="E8" s="328">
        <v>45848</v>
      </c>
    </row>
    <row r="9" spans="1:15">
      <c r="A9" s="2" t="s">
        <v>750</v>
      </c>
      <c r="B9" s="2" t="s">
        <v>751</v>
      </c>
      <c r="C9" s="2" t="s">
        <v>643</v>
      </c>
      <c r="D9" s="3">
        <v>74900</v>
      </c>
      <c r="E9" s="328">
        <v>45849</v>
      </c>
      <c r="H9" t="s">
        <v>758</v>
      </c>
      <c r="I9">
        <f>SUMIF(B2:B11, "Smart TV", D2:D11)</f>
        <v>74900</v>
      </c>
    </row>
    <row r="10" spans="1:15" ht="30">
      <c r="A10" s="2" t="s">
        <v>752</v>
      </c>
      <c r="B10" s="2" t="s">
        <v>52</v>
      </c>
      <c r="C10" s="2" t="s">
        <v>660</v>
      </c>
      <c r="D10" s="3">
        <v>5750</v>
      </c>
      <c r="E10" s="328">
        <v>45850</v>
      </c>
      <c r="H10" t="s">
        <v>756</v>
      </c>
    </row>
    <row r="11" spans="1:15">
      <c r="A11" s="2" t="s">
        <v>753</v>
      </c>
      <c r="B11" s="2" t="s">
        <v>141</v>
      </c>
      <c r="C11" s="2" t="s">
        <v>660</v>
      </c>
      <c r="D11" s="3">
        <v>2600</v>
      </c>
      <c r="E11" s="328">
        <v>45851</v>
      </c>
    </row>
    <row r="13" spans="1:15">
      <c r="A13" s="379" t="s">
        <v>759</v>
      </c>
      <c r="B13" s="380"/>
      <c r="C13" s="380"/>
      <c r="D13" s="380"/>
      <c r="E13" s="380"/>
      <c r="F13" s="380"/>
      <c r="G13" s="380"/>
    </row>
    <row r="15" spans="1:15">
      <c r="A15" t="s">
        <v>760</v>
      </c>
      <c r="B15">
        <f>AVERAGEIF(C2:C11, "Accessories", D2:D11)</f>
        <v>4025</v>
      </c>
    </row>
    <row r="16" spans="1:15">
      <c r="A16" t="s">
        <v>756</v>
      </c>
    </row>
    <row r="19" spans="1:13">
      <c r="A19" s="248" t="s">
        <v>761</v>
      </c>
      <c r="B19" s="98"/>
      <c r="C19" s="98"/>
      <c r="D19" s="98"/>
      <c r="E19" s="98"/>
      <c r="F19" s="98"/>
      <c r="G19" s="98"/>
    </row>
    <row r="21" spans="1:13">
      <c r="A21" s="226" t="s">
        <v>763</v>
      </c>
      <c r="B21" t="s">
        <v>766</v>
      </c>
    </row>
    <row r="22" spans="1:13">
      <c r="A22" s="23" t="s">
        <v>762</v>
      </c>
      <c r="B22" t="s">
        <v>765</v>
      </c>
    </row>
    <row r="23" spans="1:13">
      <c r="A23" s="23" t="s">
        <v>764</v>
      </c>
      <c r="B23" t="s">
        <v>767</v>
      </c>
    </row>
    <row r="27" spans="1:13" ht="24">
      <c r="E27" s="381" t="s">
        <v>768</v>
      </c>
    </row>
    <row r="29" spans="1:13">
      <c r="A29" s="1" t="s">
        <v>202</v>
      </c>
      <c r="B29" s="1" t="s">
        <v>255</v>
      </c>
      <c r="C29" s="1" t="s">
        <v>312</v>
      </c>
    </row>
    <row r="30" spans="1:13">
      <c r="A30" s="2" t="s">
        <v>67</v>
      </c>
      <c r="B30" s="2" t="s">
        <v>257</v>
      </c>
      <c r="C30" s="3">
        <v>52000</v>
      </c>
      <c r="F30" s="382" t="s">
        <v>769</v>
      </c>
      <c r="G30" s="354"/>
      <c r="H30" s="354"/>
      <c r="I30" s="354"/>
      <c r="J30" s="354"/>
      <c r="K30" s="354"/>
      <c r="L30" s="354"/>
      <c r="M30" s="354"/>
    </row>
    <row r="31" spans="1:13">
      <c r="A31" s="2" t="s">
        <v>68</v>
      </c>
      <c r="B31" s="2" t="s">
        <v>260</v>
      </c>
      <c r="C31" s="3">
        <v>1200</v>
      </c>
    </row>
    <row r="32" spans="1:13">
      <c r="A32" s="2" t="s">
        <v>208</v>
      </c>
      <c r="B32" s="2" t="s">
        <v>258</v>
      </c>
      <c r="C32" s="3">
        <v>25000</v>
      </c>
      <c r="G32">
        <f>COUNTIFS(A30:A39, "Smartphone", B30:B39, "South")</f>
        <v>1</v>
      </c>
    </row>
    <row r="33" spans="1:17">
      <c r="A33" s="2" t="s">
        <v>71</v>
      </c>
      <c r="B33" s="2" t="s">
        <v>257</v>
      </c>
      <c r="C33" s="3">
        <v>4500</v>
      </c>
    </row>
    <row r="34" spans="1:17">
      <c r="A34" s="2" t="s">
        <v>212</v>
      </c>
      <c r="B34" s="2" t="s">
        <v>259</v>
      </c>
      <c r="C34" s="3">
        <v>36000</v>
      </c>
    </row>
    <row r="35" spans="1:17">
      <c r="A35" s="2" t="s">
        <v>208</v>
      </c>
      <c r="B35" s="2" t="s">
        <v>260</v>
      </c>
      <c r="C35" s="3">
        <v>44000</v>
      </c>
      <c r="G35">
        <f>COUNTIFS(B30:B39, "North", C30:C39, "&gt;30000")</f>
        <v>2</v>
      </c>
    </row>
    <row r="36" spans="1:17">
      <c r="A36" s="2" t="s">
        <v>50</v>
      </c>
      <c r="B36" s="2" t="s">
        <v>258</v>
      </c>
      <c r="C36" s="3">
        <v>11000</v>
      </c>
    </row>
    <row r="37" spans="1:17">
      <c r="A37" s="2" t="s">
        <v>67</v>
      </c>
      <c r="B37" s="2" t="s">
        <v>259</v>
      </c>
      <c r="C37" s="3">
        <v>58000</v>
      </c>
    </row>
    <row r="38" spans="1:17">
      <c r="A38" s="2" t="s">
        <v>58</v>
      </c>
      <c r="B38" s="2" t="s">
        <v>260</v>
      </c>
      <c r="C38" s="3">
        <v>2000</v>
      </c>
    </row>
    <row r="39" spans="1:17">
      <c r="A39" s="2" t="s">
        <v>212</v>
      </c>
      <c r="B39" s="2" t="s">
        <v>257</v>
      </c>
      <c r="C39" s="3">
        <v>38000</v>
      </c>
    </row>
    <row r="42" spans="1:17">
      <c r="A42" s="242" t="s">
        <v>770</v>
      </c>
      <c r="B42" s="178"/>
      <c r="C42" s="178"/>
      <c r="D42" s="178"/>
      <c r="E42" s="178"/>
      <c r="I42" s="319" t="s">
        <v>771</v>
      </c>
      <c r="J42" s="36"/>
      <c r="K42" s="36"/>
      <c r="L42" s="36"/>
      <c r="M42" s="36"/>
      <c r="N42" s="36"/>
      <c r="O42" s="36"/>
      <c r="P42" s="36"/>
      <c r="Q42" s="35"/>
    </row>
    <row r="44" spans="1:17">
      <c r="B44">
        <f>SUMIFS(C30:C39, A30:A39, "Smartphone", B30:B39, "South")</f>
        <v>44000</v>
      </c>
      <c r="I44" s="22" t="s">
        <v>780</v>
      </c>
      <c r="L44">
        <f>COUNTIFS(B30:B39, "South", C30:C39, "&lt;5000")</f>
        <v>2</v>
      </c>
    </row>
    <row r="46" spans="1:17">
      <c r="B46">
        <f>SUMIFS(C30:C39, B30:B39, "North", C30:C39, "&gt;30000")</f>
        <v>90000</v>
      </c>
      <c r="I46" s="22" t="s">
        <v>777</v>
      </c>
      <c r="L46">
        <f>COUNTIFS(A30:A39, "Tablet", B30:B39, "North")</f>
        <v>1</v>
      </c>
    </row>
    <row r="48" spans="1:17">
      <c r="B48">
        <f>SUMIFS(C30:C39, B30:B39, "East")</f>
        <v>36000</v>
      </c>
      <c r="I48" t="s">
        <v>772</v>
      </c>
      <c r="L48">
        <f>COUNTIFS(C30:C39, "&gt;25000")</f>
        <v>5</v>
      </c>
    </row>
    <row r="50" spans="1:12">
      <c r="I50" t="s">
        <v>773</v>
      </c>
      <c r="J50" t="s">
        <v>774</v>
      </c>
      <c r="L50">
        <f>SUMIFS(C30:C39, A30:A39, "Smartphone")</f>
        <v>69000</v>
      </c>
    </row>
    <row r="51" spans="1:12">
      <c r="J51" t="s">
        <v>775</v>
      </c>
    </row>
    <row r="53" spans="1:12">
      <c r="I53" s="22" t="s">
        <v>779</v>
      </c>
      <c r="L53">
        <f>SUMIFS(C30:C39, B30:B39, "East", C30:C39, "&gt;10000")</f>
        <v>36000</v>
      </c>
    </row>
    <row r="55" spans="1:12">
      <c r="I55" t="s">
        <v>776</v>
      </c>
      <c r="L55">
        <f>SUMIFS(C30:C39, B30:B39, "North", C30:C39, "&lt;10000")</f>
        <v>4500</v>
      </c>
    </row>
    <row r="56" spans="1:12">
      <c r="I56" t="s">
        <v>778</v>
      </c>
    </row>
    <row r="59" spans="1:12">
      <c r="A59" s="343" t="s">
        <v>781</v>
      </c>
      <c r="B59" s="344"/>
      <c r="C59" s="344"/>
      <c r="D59" s="344"/>
      <c r="E59" s="344"/>
      <c r="F59" s="344"/>
      <c r="G59" s="344"/>
    </row>
    <row r="61" spans="1:12">
      <c r="A61" s="226" t="s">
        <v>783</v>
      </c>
      <c r="B61" t="s">
        <v>784</v>
      </c>
    </row>
    <row r="62" spans="1:12">
      <c r="B62" t="s">
        <v>785</v>
      </c>
    </row>
    <row r="63" spans="1:12">
      <c r="B63" t="s">
        <v>786</v>
      </c>
    </row>
    <row r="64" spans="1:12">
      <c r="A64" s="226" t="s">
        <v>782</v>
      </c>
      <c r="B64" t="s">
        <v>787</v>
      </c>
    </row>
    <row r="65" spans="2:2">
      <c r="B65" t="s">
        <v>785</v>
      </c>
    </row>
    <row r="66" spans="2:2">
      <c r="B66" t="s">
        <v>786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F26F6-F059-4F3B-8767-2D89B1AF7395}">
  <sheetPr codeName="Sheet18"/>
  <dimension ref="A1:S40"/>
  <sheetViews>
    <sheetView topLeftCell="B23" workbookViewId="0">
      <selection activeCell="M40" sqref="M40"/>
    </sheetView>
  </sheetViews>
  <sheetFormatPr defaultRowHeight="15"/>
  <cols>
    <col min="1" max="1" width="12.28515625" customWidth="1"/>
    <col min="2" max="2" width="17.5703125" customWidth="1"/>
    <col min="3" max="3" width="12.42578125" customWidth="1"/>
    <col min="6" max="6" width="10.140625" bestFit="1" customWidth="1"/>
    <col min="11" max="11" width="17.85546875" customWidth="1"/>
    <col min="12" max="12" width="17.5703125" customWidth="1"/>
    <col min="13" max="13" width="19.28515625" customWidth="1"/>
    <col min="14" max="14" width="14.5703125" customWidth="1"/>
    <col min="15" max="15" width="11" bestFit="1" customWidth="1"/>
    <col min="17" max="17" width="10.5703125" bestFit="1" customWidth="1"/>
  </cols>
  <sheetData>
    <row r="1" spans="1:19">
      <c r="A1" s="1" t="s">
        <v>788</v>
      </c>
      <c r="B1" s="1" t="s">
        <v>789</v>
      </c>
      <c r="C1" s="1" t="s">
        <v>790</v>
      </c>
      <c r="D1" s="1" t="s">
        <v>168</v>
      </c>
      <c r="E1" s="1" t="s">
        <v>255</v>
      </c>
      <c r="F1" s="1" t="s">
        <v>87</v>
      </c>
    </row>
    <row r="2" spans="1:19">
      <c r="A2" s="2" t="s">
        <v>791</v>
      </c>
      <c r="B2" s="2" t="s">
        <v>223</v>
      </c>
      <c r="C2" s="2" t="s">
        <v>660</v>
      </c>
      <c r="D2" s="2">
        <v>15</v>
      </c>
      <c r="E2" s="2" t="s">
        <v>258</v>
      </c>
      <c r="F2" s="2" t="s">
        <v>792</v>
      </c>
    </row>
    <row r="3" spans="1:19">
      <c r="A3" s="2" t="s">
        <v>793</v>
      </c>
      <c r="B3" s="2" t="s">
        <v>746</v>
      </c>
      <c r="C3" s="2" t="s">
        <v>643</v>
      </c>
      <c r="D3" s="2">
        <v>8</v>
      </c>
      <c r="E3" s="2" t="s">
        <v>257</v>
      </c>
      <c r="F3" s="2" t="s">
        <v>794</v>
      </c>
    </row>
    <row r="4" spans="1:19">
      <c r="A4" s="2" t="s">
        <v>795</v>
      </c>
      <c r="B4" s="2" t="s">
        <v>224</v>
      </c>
      <c r="C4" s="2" t="s">
        <v>660</v>
      </c>
      <c r="D4" s="2">
        <v>12</v>
      </c>
      <c r="E4" s="2" t="s">
        <v>259</v>
      </c>
      <c r="F4" s="2" t="s">
        <v>796</v>
      </c>
    </row>
    <row r="5" spans="1:19">
      <c r="A5" s="2" t="s">
        <v>797</v>
      </c>
      <c r="B5" s="2" t="s">
        <v>798</v>
      </c>
      <c r="C5" s="2" t="s">
        <v>799</v>
      </c>
      <c r="D5" s="2">
        <v>6</v>
      </c>
      <c r="E5" s="2" t="s">
        <v>260</v>
      </c>
      <c r="F5" s="2" t="s">
        <v>800</v>
      </c>
    </row>
    <row r="6" spans="1:19">
      <c r="A6" s="2" t="s">
        <v>801</v>
      </c>
      <c r="B6" s="2" t="s">
        <v>802</v>
      </c>
      <c r="C6" s="2" t="s">
        <v>643</v>
      </c>
      <c r="D6" s="2">
        <v>9</v>
      </c>
      <c r="E6" s="2" t="s">
        <v>258</v>
      </c>
      <c r="F6" s="2" t="s">
        <v>803</v>
      </c>
    </row>
    <row r="7" spans="1:19">
      <c r="A7" s="2" t="s">
        <v>804</v>
      </c>
      <c r="B7" s="2" t="s">
        <v>805</v>
      </c>
      <c r="C7" s="2" t="s">
        <v>660</v>
      </c>
      <c r="D7" s="2">
        <v>20</v>
      </c>
      <c r="E7" s="2" t="s">
        <v>257</v>
      </c>
      <c r="F7" s="2" t="s">
        <v>806</v>
      </c>
    </row>
    <row r="8" spans="1:19">
      <c r="A8" s="2" t="s">
        <v>807</v>
      </c>
      <c r="B8" s="2" t="s">
        <v>742</v>
      </c>
      <c r="C8" s="2" t="s">
        <v>799</v>
      </c>
      <c r="D8" s="2">
        <v>7</v>
      </c>
      <c r="E8" s="2" t="s">
        <v>260</v>
      </c>
      <c r="F8" s="2" t="s">
        <v>808</v>
      </c>
    </row>
    <row r="9" spans="1:19">
      <c r="A9" s="2" t="s">
        <v>809</v>
      </c>
      <c r="B9" s="2" t="s">
        <v>810</v>
      </c>
      <c r="C9" s="2" t="s">
        <v>665</v>
      </c>
      <c r="D9" s="2">
        <v>10</v>
      </c>
      <c r="E9" s="2" t="s">
        <v>259</v>
      </c>
      <c r="F9" s="2" t="s">
        <v>811</v>
      </c>
    </row>
    <row r="10" spans="1:19">
      <c r="A10" s="2" t="s">
        <v>812</v>
      </c>
      <c r="B10" s="2" t="s">
        <v>813</v>
      </c>
      <c r="C10" s="2" t="s">
        <v>660</v>
      </c>
      <c r="D10" s="2">
        <v>11</v>
      </c>
      <c r="E10" s="2" t="s">
        <v>257</v>
      </c>
      <c r="F10" s="2" t="s">
        <v>814</v>
      </c>
      <c r="J10" t="s">
        <v>60</v>
      </c>
      <c r="L10" s="383" t="s">
        <v>818</v>
      </c>
      <c r="M10" s="350"/>
      <c r="N10" s="350"/>
      <c r="O10" s="350"/>
      <c r="P10" s="350"/>
      <c r="Q10" s="350"/>
      <c r="R10" s="350"/>
      <c r="S10" s="115"/>
    </row>
    <row r="11" spans="1:19">
      <c r="A11" s="2" t="s">
        <v>815</v>
      </c>
      <c r="B11" s="2" t="s">
        <v>744</v>
      </c>
      <c r="C11" s="2" t="s">
        <v>665</v>
      </c>
      <c r="D11" s="2">
        <v>5</v>
      </c>
      <c r="E11" s="2" t="s">
        <v>258</v>
      </c>
      <c r="F11" s="2" t="s">
        <v>816</v>
      </c>
    </row>
    <row r="12" spans="1:19">
      <c r="L12" s="1" t="s">
        <v>788</v>
      </c>
      <c r="M12" s="1" t="s">
        <v>789</v>
      </c>
      <c r="N12" s="1" t="s">
        <v>790</v>
      </c>
      <c r="O12" s="1" t="s">
        <v>168</v>
      </c>
      <c r="P12" s="1" t="s">
        <v>255</v>
      </c>
      <c r="Q12" s="1" t="s">
        <v>87</v>
      </c>
      <c r="R12" s="1"/>
    </row>
    <row r="13" spans="1:19">
      <c r="A13" s="374" t="s">
        <v>817</v>
      </c>
      <c r="B13" s="375"/>
      <c r="C13" s="375"/>
      <c r="D13" s="375"/>
      <c r="E13" s="375"/>
      <c r="F13" s="375"/>
      <c r="G13" s="375"/>
      <c r="H13" s="192"/>
      <c r="L13" s="2" t="s">
        <v>791</v>
      </c>
      <c r="M13" s="2" t="s">
        <v>223</v>
      </c>
      <c r="N13" s="2" t="s">
        <v>660</v>
      </c>
      <c r="O13" s="2">
        <v>15</v>
      </c>
      <c r="P13" s="2" t="s">
        <v>258</v>
      </c>
      <c r="Q13" s="387">
        <v>18000</v>
      </c>
      <c r="R13" s="384"/>
    </row>
    <row r="14" spans="1:19">
      <c r="L14" s="2" t="s">
        <v>793</v>
      </c>
      <c r="M14" s="2" t="s">
        <v>746</v>
      </c>
      <c r="N14" s="2" t="s">
        <v>643</v>
      </c>
      <c r="O14" s="2">
        <v>8</v>
      </c>
      <c r="P14" s="2" t="s">
        <v>257</v>
      </c>
      <c r="Q14" s="387">
        <v>72000</v>
      </c>
      <c r="R14" s="384"/>
    </row>
    <row r="15" spans="1:19">
      <c r="A15" t="s">
        <v>788</v>
      </c>
      <c r="B15" t="s">
        <v>789</v>
      </c>
      <c r="C15" t="s">
        <v>790</v>
      </c>
      <c r="D15" t="s">
        <v>168</v>
      </c>
      <c r="E15" t="s">
        <v>255</v>
      </c>
      <c r="F15" t="s">
        <v>87</v>
      </c>
      <c r="L15" s="2" t="s">
        <v>795</v>
      </c>
      <c r="M15" s="2" t="s">
        <v>224</v>
      </c>
      <c r="N15" s="2" t="s">
        <v>660</v>
      </c>
      <c r="O15" s="2">
        <v>12</v>
      </c>
      <c r="P15" s="2" t="s">
        <v>259</v>
      </c>
      <c r="Q15" s="388">
        <v>30000</v>
      </c>
      <c r="R15" s="385"/>
    </row>
    <row r="16" spans="1:19">
      <c r="A16" t="s">
        <v>791</v>
      </c>
      <c r="B16" t="s">
        <v>223</v>
      </c>
      <c r="C16" t="s">
        <v>660</v>
      </c>
      <c r="D16">
        <v>15</v>
      </c>
      <c r="E16" t="s">
        <v>258</v>
      </c>
      <c r="F16" t="s">
        <v>792</v>
      </c>
      <c r="L16" s="2" t="s">
        <v>797</v>
      </c>
      <c r="M16" s="2" t="s">
        <v>798</v>
      </c>
      <c r="N16" s="2" t="s">
        <v>799</v>
      </c>
      <c r="O16" s="2">
        <v>6</v>
      </c>
      <c r="P16" s="2" t="s">
        <v>260</v>
      </c>
      <c r="Q16" s="388">
        <v>96000</v>
      </c>
      <c r="R16" s="385"/>
    </row>
    <row r="17" spans="1:18">
      <c r="A17" t="s">
        <v>793</v>
      </c>
      <c r="B17" t="s">
        <v>746</v>
      </c>
      <c r="C17" t="s">
        <v>643</v>
      </c>
      <c r="D17">
        <v>8</v>
      </c>
      <c r="E17" t="s">
        <v>257</v>
      </c>
      <c r="F17" t="s">
        <v>794</v>
      </c>
      <c r="J17" t="s">
        <v>60</v>
      </c>
      <c r="L17" s="2" t="s">
        <v>801</v>
      </c>
      <c r="M17" s="2" t="s">
        <v>802</v>
      </c>
      <c r="N17" s="2" t="s">
        <v>643</v>
      </c>
      <c r="O17" s="2">
        <v>9</v>
      </c>
      <c r="P17" s="2" t="s">
        <v>258</v>
      </c>
      <c r="Q17" s="388">
        <v>27000</v>
      </c>
      <c r="R17" s="385"/>
    </row>
    <row r="18" spans="1:18">
      <c r="A18" t="s">
        <v>795</v>
      </c>
      <c r="B18" t="s">
        <v>224</v>
      </c>
      <c r="C18" t="s">
        <v>660</v>
      </c>
      <c r="D18">
        <v>12</v>
      </c>
      <c r="E18" t="s">
        <v>259</v>
      </c>
      <c r="F18" t="s">
        <v>796</v>
      </c>
      <c r="L18" s="2" t="s">
        <v>804</v>
      </c>
      <c r="M18" s="2" t="s">
        <v>805</v>
      </c>
      <c r="N18" s="2" t="s">
        <v>660</v>
      </c>
      <c r="O18" s="2">
        <v>20</v>
      </c>
      <c r="P18" s="2" t="s">
        <v>257</v>
      </c>
      <c r="Q18" s="388">
        <v>10000</v>
      </c>
      <c r="R18" s="385"/>
    </row>
    <row r="19" spans="1:18">
      <c r="A19" t="s">
        <v>797</v>
      </c>
      <c r="B19" t="s">
        <v>798</v>
      </c>
      <c r="C19" t="s">
        <v>799</v>
      </c>
      <c r="D19">
        <v>6</v>
      </c>
      <c r="E19" t="s">
        <v>260</v>
      </c>
      <c r="F19" t="s">
        <v>800</v>
      </c>
      <c r="L19" s="2" t="s">
        <v>807</v>
      </c>
      <c r="M19" s="2" t="s">
        <v>742</v>
      </c>
      <c r="N19" s="2" t="s">
        <v>799</v>
      </c>
      <c r="O19" s="2">
        <v>7</v>
      </c>
      <c r="P19" s="2" t="s">
        <v>260</v>
      </c>
      <c r="Q19" s="388">
        <v>84000</v>
      </c>
      <c r="R19" s="385"/>
    </row>
    <row r="20" spans="1:18">
      <c r="A20" t="s">
        <v>801</v>
      </c>
      <c r="B20" t="s">
        <v>802</v>
      </c>
      <c r="C20" t="s">
        <v>643</v>
      </c>
      <c r="D20">
        <v>9</v>
      </c>
      <c r="E20" t="s">
        <v>258</v>
      </c>
      <c r="F20" t="s">
        <v>803</v>
      </c>
      <c r="L20" s="2" t="s">
        <v>809</v>
      </c>
      <c r="M20" s="2" t="s">
        <v>810</v>
      </c>
      <c r="N20" s="2" t="s">
        <v>665</v>
      </c>
      <c r="O20" s="2">
        <v>10</v>
      </c>
      <c r="P20" s="2" t="s">
        <v>259</v>
      </c>
      <c r="Q20" s="388">
        <v>55000</v>
      </c>
      <c r="R20" s="385"/>
    </row>
    <row r="21" spans="1:18">
      <c r="A21" t="s">
        <v>804</v>
      </c>
      <c r="B21" t="s">
        <v>805</v>
      </c>
      <c r="C21" t="s">
        <v>660</v>
      </c>
      <c r="D21">
        <v>20</v>
      </c>
      <c r="E21" t="s">
        <v>257</v>
      </c>
      <c r="F21" t="s">
        <v>806</v>
      </c>
      <c r="L21" s="2" t="s">
        <v>812</v>
      </c>
      <c r="M21" s="2" t="s">
        <v>813</v>
      </c>
      <c r="N21" s="2" t="s">
        <v>660</v>
      </c>
      <c r="O21" s="2">
        <v>11</v>
      </c>
      <c r="P21" s="2" t="s">
        <v>257</v>
      </c>
      <c r="Q21" s="388">
        <v>22000</v>
      </c>
      <c r="R21" s="385"/>
    </row>
    <row r="22" spans="1:18">
      <c r="A22" t="s">
        <v>807</v>
      </c>
      <c r="B22" t="s">
        <v>742</v>
      </c>
      <c r="C22" t="s">
        <v>799</v>
      </c>
      <c r="D22">
        <v>7</v>
      </c>
      <c r="E22" t="s">
        <v>260</v>
      </c>
      <c r="F22" t="s">
        <v>808</v>
      </c>
      <c r="L22" s="2" t="s">
        <v>815</v>
      </c>
      <c r="M22" s="2" t="s">
        <v>744</v>
      </c>
      <c r="N22" s="2" t="s">
        <v>665</v>
      </c>
      <c r="O22" s="2">
        <v>5</v>
      </c>
      <c r="P22" s="2" t="s">
        <v>258</v>
      </c>
      <c r="Q22" s="388">
        <v>25000</v>
      </c>
      <c r="R22" s="385"/>
    </row>
    <row r="23" spans="1:18">
      <c r="A23" t="s">
        <v>809</v>
      </c>
      <c r="B23" t="s">
        <v>810</v>
      </c>
      <c r="C23" t="s">
        <v>665</v>
      </c>
      <c r="D23">
        <v>10</v>
      </c>
      <c r="E23" t="s">
        <v>259</v>
      </c>
      <c r="F23" t="s">
        <v>811</v>
      </c>
    </row>
    <row r="24" spans="1:18">
      <c r="A24" t="s">
        <v>812</v>
      </c>
      <c r="B24" t="s">
        <v>813</v>
      </c>
      <c r="C24" t="s">
        <v>660</v>
      </c>
      <c r="D24">
        <v>11</v>
      </c>
      <c r="E24" t="s">
        <v>257</v>
      </c>
      <c r="F24" t="s">
        <v>814</v>
      </c>
    </row>
    <row r="25" spans="1:18">
      <c r="A25" t="s">
        <v>815</v>
      </c>
      <c r="B25" t="s">
        <v>744</v>
      </c>
      <c r="C25" t="s">
        <v>665</v>
      </c>
      <c r="D25">
        <v>5</v>
      </c>
      <c r="E25" t="s">
        <v>258</v>
      </c>
      <c r="F25" t="s">
        <v>816</v>
      </c>
    </row>
    <row r="26" spans="1:18">
      <c r="J26" s="389" t="s">
        <v>820</v>
      </c>
      <c r="K26" s="390"/>
      <c r="L26" s="390"/>
      <c r="M26" s="390"/>
      <c r="N26" s="390"/>
      <c r="O26" s="391"/>
    </row>
    <row r="27" spans="1:18">
      <c r="D27" s="371"/>
    </row>
    <row r="28" spans="1:18" ht="30">
      <c r="A28" s="238" t="s">
        <v>819</v>
      </c>
      <c r="B28" s="94"/>
      <c r="C28" s="94"/>
      <c r="D28" s="94"/>
      <c r="E28" s="94"/>
      <c r="J28" s="1" t="s">
        <v>788</v>
      </c>
      <c r="K28" s="1" t="s">
        <v>789</v>
      </c>
      <c r="L28" s="1" t="s">
        <v>790</v>
      </c>
      <c r="M28" s="1" t="s">
        <v>168</v>
      </c>
      <c r="N28" s="1" t="s">
        <v>255</v>
      </c>
      <c r="O28" s="1" t="s">
        <v>87</v>
      </c>
    </row>
    <row r="29" spans="1:18">
      <c r="H29" t="s">
        <v>60</v>
      </c>
      <c r="J29" s="2" t="s">
        <v>791</v>
      </c>
      <c r="K29" s="2" t="s">
        <v>223</v>
      </c>
      <c r="L29" s="2" t="s">
        <v>660</v>
      </c>
      <c r="M29" s="2">
        <v>15</v>
      </c>
      <c r="N29" s="2" t="s">
        <v>258</v>
      </c>
      <c r="O29" s="392">
        <v>16000</v>
      </c>
    </row>
    <row r="30" spans="1:18">
      <c r="A30" s="1" t="s">
        <v>788</v>
      </c>
      <c r="B30" s="1" t="s">
        <v>789</v>
      </c>
      <c r="C30" s="1" t="s">
        <v>790</v>
      </c>
      <c r="D30" s="1" t="s">
        <v>168</v>
      </c>
      <c r="E30" s="1" t="s">
        <v>255</v>
      </c>
      <c r="F30" s="1" t="s">
        <v>87</v>
      </c>
      <c r="J30" s="2" t="s">
        <v>793</v>
      </c>
      <c r="K30" s="2" t="s">
        <v>746</v>
      </c>
      <c r="L30" s="2" t="s">
        <v>643</v>
      </c>
      <c r="M30" s="2">
        <v>8</v>
      </c>
      <c r="N30" s="2" t="s">
        <v>257</v>
      </c>
      <c r="O30" s="392">
        <v>25000</v>
      </c>
    </row>
    <row r="31" spans="1:18">
      <c r="A31" s="2" t="s">
        <v>791</v>
      </c>
      <c r="B31" s="2" t="s">
        <v>223</v>
      </c>
      <c r="C31" s="2" t="s">
        <v>660</v>
      </c>
      <c r="D31" s="2">
        <v>15</v>
      </c>
      <c r="E31" s="2" t="s">
        <v>258</v>
      </c>
      <c r="F31" s="217">
        <v>16000</v>
      </c>
      <c r="J31" s="2" t="s">
        <v>795</v>
      </c>
      <c r="K31" s="2" t="s">
        <v>224</v>
      </c>
      <c r="L31" s="2" t="s">
        <v>660</v>
      </c>
      <c r="M31" s="2">
        <v>12</v>
      </c>
      <c r="N31" s="2" t="s">
        <v>259</v>
      </c>
      <c r="O31" s="392">
        <v>76000</v>
      </c>
    </row>
    <row r="32" spans="1:18">
      <c r="A32" s="2" t="s">
        <v>793</v>
      </c>
      <c r="B32" s="2" t="s">
        <v>746</v>
      </c>
      <c r="C32" s="2" t="s">
        <v>643</v>
      </c>
      <c r="D32" s="2">
        <v>8</v>
      </c>
      <c r="E32" s="2" t="s">
        <v>257</v>
      </c>
      <c r="F32" s="217">
        <v>23000</v>
      </c>
      <c r="J32" s="2" t="s">
        <v>797</v>
      </c>
      <c r="K32" s="2" t="s">
        <v>798</v>
      </c>
      <c r="L32" s="2" t="s">
        <v>799</v>
      </c>
      <c r="M32" s="2">
        <v>6</v>
      </c>
      <c r="N32" s="2" t="s">
        <v>260</v>
      </c>
      <c r="O32" s="392">
        <v>12000</v>
      </c>
    </row>
    <row r="33" spans="1:15">
      <c r="A33" s="2" t="s">
        <v>795</v>
      </c>
      <c r="B33" s="2" t="s">
        <v>224</v>
      </c>
      <c r="C33" s="2" t="s">
        <v>660</v>
      </c>
      <c r="D33" s="2">
        <v>12</v>
      </c>
      <c r="E33" s="2" t="s">
        <v>259</v>
      </c>
      <c r="F33" s="217">
        <v>77000</v>
      </c>
      <c r="J33" s="2" t="s">
        <v>801</v>
      </c>
      <c r="K33" s="2" t="s">
        <v>802</v>
      </c>
      <c r="L33" s="2" t="s">
        <v>643</v>
      </c>
      <c r="M33" s="2">
        <v>9</v>
      </c>
      <c r="N33" s="2" t="s">
        <v>258</v>
      </c>
      <c r="O33" s="392">
        <v>99000</v>
      </c>
    </row>
    <row r="34" spans="1:15">
      <c r="A34" s="2" t="s">
        <v>797</v>
      </c>
      <c r="B34" s="2" t="s">
        <v>798</v>
      </c>
      <c r="C34" s="2" t="s">
        <v>799</v>
      </c>
      <c r="D34" s="2">
        <v>6</v>
      </c>
      <c r="E34" s="2" t="s">
        <v>260</v>
      </c>
      <c r="F34" s="217">
        <v>56000</v>
      </c>
      <c r="J34" s="2" t="s">
        <v>804</v>
      </c>
      <c r="K34" s="2" t="s">
        <v>805</v>
      </c>
      <c r="L34" s="2" t="s">
        <v>660</v>
      </c>
      <c r="M34" s="2">
        <v>20</v>
      </c>
      <c r="N34" s="2" t="s">
        <v>257</v>
      </c>
      <c r="O34" s="392">
        <v>32000</v>
      </c>
    </row>
    <row r="35" spans="1:15">
      <c r="A35" s="2" t="s">
        <v>801</v>
      </c>
      <c r="B35" s="2" t="s">
        <v>802</v>
      </c>
      <c r="C35" s="2" t="s">
        <v>643</v>
      </c>
      <c r="D35" s="2">
        <v>9</v>
      </c>
      <c r="E35" s="2" t="s">
        <v>258</v>
      </c>
      <c r="F35" s="217">
        <v>72000</v>
      </c>
      <c r="J35" s="2" t="s">
        <v>807</v>
      </c>
      <c r="K35" s="2" t="s">
        <v>742</v>
      </c>
      <c r="L35" s="2" t="s">
        <v>799</v>
      </c>
      <c r="M35" s="2">
        <v>7</v>
      </c>
      <c r="N35" s="2" t="s">
        <v>260</v>
      </c>
      <c r="O35" s="392">
        <v>44000</v>
      </c>
    </row>
    <row r="36" spans="1:15">
      <c r="A36" s="2" t="s">
        <v>804</v>
      </c>
      <c r="B36" s="2" t="s">
        <v>805</v>
      </c>
      <c r="C36" s="2" t="s">
        <v>660</v>
      </c>
      <c r="D36" s="2">
        <v>20</v>
      </c>
      <c r="E36" s="2" t="s">
        <v>257</v>
      </c>
      <c r="F36" s="217">
        <v>99000</v>
      </c>
      <c r="J36" s="2" t="s">
        <v>809</v>
      </c>
      <c r="K36" s="2" t="s">
        <v>810</v>
      </c>
      <c r="L36" s="2" t="s">
        <v>665</v>
      </c>
      <c r="M36" s="2">
        <v>10</v>
      </c>
      <c r="N36" s="2" t="s">
        <v>259</v>
      </c>
      <c r="O36" s="392">
        <v>75000</v>
      </c>
    </row>
    <row r="37" spans="1:15">
      <c r="A37" s="2" t="s">
        <v>807</v>
      </c>
      <c r="B37" s="2" t="s">
        <v>742</v>
      </c>
      <c r="C37" s="2" t="s">
        <v>799</v>
      </c>
      <c r="D37" s="2">
        <v>7</v>
      </c>
      <c r="E37" s="2" t="s">
        <v>260</v>
      </c>
      <c r="F37" s="217">
        <v>35300</v>
      </c>
      <c r="J37" s="2" t="s">
        <v>812</v>
      </c>
      <c r="K37" s="2" t="s">
        <v>813</v>
      </c>
      <c r="L37" s="2" t="s">
        <v>660</v>
      </c>
      <c r="M37" s="2">
        <v>11</v>
      </c>
      <c r="N37" s="2" t="s">
        <v>257</v>
      </c>
      <c r="O37" s="392">
        <v>15000</v>
      </c>
    </row>
    <row r="38" spans="1:15">
      <c r="A38" s="2" t="s">
        <v>809</v>
      </c>
      <c r="B38" s="2" t="s">
        <v>810</v>
      </c>
      <c r="C38" s="2" t="s">
        <v>665</v>
      </c>
      <c r="D38" s="2">
        <v>10</v>
      </c>
      <c r="E38" s="2" t="s">
        <v>259</v>
      </c>
      <c r="F38" s="217">
        <v>21000</v>
      </c>
      <c r="J38" s="2" t="s">
        <v>815</v>
      </c>
      <c r="K38" s="2" t="s">
        <v>744</v>
      </c>
      <c r="L38" s="2" t="s">
        <v>665</v>
      </c>
      <c r="M38" s="2">
        <v>5</v>
      </c>
      <c r="N38" s="2" t="s">
        <v>258</v>
      </c>
      <c r="O38" s="2"/>
    </row>
    <row r="39" spans="1:15">
      <c r="A39" s="2" t="s">
        <v>812</v>
      </c>
      <c r="B39" s="2" t="s">
        <v>813</v>
      </c>
      <c r="C39" s="2" t="s">
        <v>660</v>
      </c>
      <c r="D39" s="2">
        <v>11</v>
      </c>
      <c r="E39" s="2" t="s">
        <v>257</v>
      </c>
      <c r="F39" s="217">
        <v>47500</v>
      </c>
    </row>
    <row r="40" spans="1:15">
      <c r="A40" s="2" t="s">
        <v>815</v>
      </c>
      <c r="B40" s="2" t="s">
        <v>744</v>
      </c>
      <c r="C40" s="2" t="s">
        <v>665</v>
      </c>
      <c r="D40" s="2">
        <v>5</v>
      </c>
      <c r="E40" s="2" t="s">
        <v>258</v>
      </c>
      <c r="F40" s="217">
        <v>65500</v>
      </c>
    </row>
  </sheetData>
  <conditionalFormatting sqref="F15:F25">
    <cfRule type="cellIs" dxfId="0" priority="25" operator="between">
      <formula>$F$19</formula>
      <formula>$F$23</formula>
    </cfRule>
  </conditionalFormatting>
  <conditionalFormatting sqref="F31:F40">
    <cfRule type="dataBar" priority="2">
      <dataBar>
        <cfvo type="min"/>
        <cfvo type="max"/>
        <color rgb="FFFFB628"/>
      </dataBar>
      <extLst>
        <ext xmlns:x14="http://schemas.microsoft.com/office/spreadsheetml/2009/9/main" uri="{B025F937-C7B1-47D3-B67F-A62EFF666E3E}">
          <x14:id>{15314D63-D19C-4193-8102-7AF106B40818}</x14:id>
        </ext>
      </extLst>
    </cfRule>
  </conditionalFormatting>
  <conditionalFormatting sqref="O29:O37">
    <cfRule type="iconSet" priority="1">
      <iconSet iconSet="3Flags">
        <cfvo type="percent" val="0"/>
        <cfvo type="percent" val="33"/>
        <cfvo type="percent" val="67"/>
      </iconSet>
    </cfRule>
  </conditionalFormatting>
  <conditionalFormatting sqref="Q12:Q22">
    <cfRule type="colorScale" priority="10">
      <colorScale>
        <cfvo type="min"/>
        <cfvo type="percentile" val="50"/>
        <cfvo type="max"/>
        <color rgb="FFFF0000"/>
        <color rgb="FFFFC000"/>
        <color rgb="FF00B050"/>
      </colorScale>
    </cfRule>
    <cfRule type="colorScale" priority="11">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Q13:Q22">
    <cfRule type="colorScale" priority="9">
      <colorScale>
        <cfvo type="min"/>
        <cfvo type="percentile" val="50"/>
        <cfvo type="max"/>
        <color rgb="FF5A8AC6"/>
        <color rgb="FFFCFCFF"/>
        <color rgb="FFF8696B"/>
      </colorScale>
    </cfRule>
  </conditionalFormatting>
  <conditionalFormatting sqref="R12">
    <cfRule type="colorScale" priority="16">
      <colorScale>
        <cfvo type="min"/>
        <cfvo type="percentile" val="50"/>
        <cfvo type="max"/>
        <color rgb="FFF8696B"/>
        <color rgb="FFFFEB84"/>
        <color rgb="FF63BE7B"/>
      </colorScale>
    </cfRule>
  </conditionalFormatting>
  <conditionalFormatting sqref="R13:R22">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5314D63-D19C-4193-8102-7AF106B40818}">
            <x14:dataBar minLength="0" maxLength="100" border="1" negativeBarBorderColorSameAsPositive="0">
              <x14:cfvo type="autoMin"/>
              <x14:cfvo type="autoMax"/>
              <x14:borderColor rgb="FFFFB628"/>
              <x14:negativeFillColor rgb="FFFF0000"/>
              <x14:negativeBorderColor rgb="FFFF0000"/>
              <x14:axisColor rgb="FF000000"/>
            </x14:dataBar>
          </x14:cfRule>
          <xm:sqref>F31:F40</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E2386-21B8-4763-8F52-36149B1AA601}">
  <sheetPr codeName="Sheet19"/>
  <dimension ref="A2:T11"/>
  <sheetViews>
    <sheetView workbookViewId="0">
      <selection activeCell="D8" sqref="D8:E11"/>
    </sheetView>
  </sheetViews>
  <sheetFormatPr defaultRowHeight="15"/>
  <cols>
    <col min="3" max="3" width="13" customWidth="1"/>
    <col min="4" max="4" width="11.85546875" customWidth="1"/>
    <col min="5" max="5" width="11.140625" customWidth="1"/>
    <col min="6" max="6" width="15.7109375" customWidth="1"/>
    <col min="8" max="8" width="11.28515625" customWidth="1"/>
    <col min="9" max="9" width="11.5703125" customWidth="1"/>
    <col min="10" max="10" width="11.85546875" customWidth="1"/>
    <col min="12" max="12" width="10.7109375" customWidth="1"/>
    <col min="13" max="13" width="10.5703125" customWidth="1"/>
    <col min="16" max="16" width="9.85546875" customWidth="1"/>
    <col min="17" max="17" width="12.5703125" customWidth="1"/>
    <col min="19" max="19" width="11.140625" customWidth="1"/>
    <col min="20" max="20" width="11.28515625" customWidth="1"/>
  </cols>
  <sheetData>
    <row r="2" spans="1:20">
      <c r="A2" s="1"/>
      <c r="B2" s="1"/>
      <c r="C2" s="1"/>
      <c r="D2" s="1"/>
      <c r="E2" s="1"/>
      <c r="F2" s="1"/>
      <c r="H2" s="1"/>
      <c r="I2" s="1"/>
      <c r="J2" s="1"/>
      <c r="K2" s="1"/>
      <c r="L2" s="1"/>
      <c r="M2" s="1"/>
      <c r="O2" s="1"/>
      <c r="P2" s="1"/>
      <c r="Q2" s="1"/>
      <c r="R2" s="1"/>
      <c r="S2" s="1"/>
      <c r="T2" s="1"/>
    </row>
    <row r="3" spans="1:20">
      <c r="A3" s="2"/>
      <c r="B3" s="328"/>
      <c r="C3" s="2"/>
      <c r="D3" s="2"/>
      <c r="E3" s="2"/>
      <c r="F3" s="2"/>
      <c r="H3" s="2"/>
      <c r="I3" s="328"/>
      <c r="J3" s="2"/>
      <c r="K3" s="2"/>
      <c r="L3" s="2"/>
      <c r="M3" s="2"/>
      <c r="O3" s="2"/>
      <c r="P3" s="328"/>
      <c r="Q3" s="2"/>
      <c r="R3" s="2"/>
      <c r="S3" s="2"/>
      <c r="T3" s="2"/>
    </row>
    <row r="4" spans="1:20">
      <c r="A4" s="2"/>
      <c r="B4" s="328"/>
      <c r="C4" s="2"/>
      <c r="D4" s="2"/>
      <c r="E4" s="2"/>
      <c r="F4" s="2"/>
      <c r="H4" s="2"/>
      <c r="I4" s="328"/>
      <c r="J4" s="2"/>
      <c r="K4" s="2"/>
      <c r="L4" s="2"/>
      <c r="M4" s="2"/>
      <c r="O4" s="2"/>
      <c r="P4" s="328"/>
      <c r="Q4" s="2"/>
      <c r="R4" s="2"/>
      <c r="S4" s="2"/>
      <c r="T4" s="2"/>
    </row>
    <row r="5" spans="1:20">
      <c r="A5" s="2"/>
      <c r="B5" s="328"/>
      <c r="C5" s="2"/>
      <c r="D5" s="2"/>
      <c r="E5" s="2"/>
      <c r="F5" s="2"/>
      <c r="H5" s="2"/>
      <c r="I5" s="328"/>
      <c r="J5" s="2"/>
      <c r="K5" s="2"/>
      <c r="L5" s="2"/>
      <c r="M5" s="2"/>
      <c r="O5" s="2"/>
      <c r="P5" s="328"/>
      <c r="Q5" s="2"/>
      <c r="R5" s="2"/>
      <c r="S5" s="2"/>
      <c r="T5" s="2"/>
    </row>
    <row r="6" spans="1:20" ht="21">
      <c r="F6" s="362" t="s">
        <v>823</v>
      </c>
    </row>
    <row r="8" spans="1:20">
      <c r="D8" s="1"/>
      <c r="E8" s="1"/>
      <c r="F8" s="1" t="s">
        <v>202</v>
      </c>
      <c r="G8" s="1" t="s">
        <v>168</v>
      </c>
      <c r="H8" s="1" t="s">
        <v>821</v>
      </c>
      <c r="I8" s="1" t="s">
        <v>822</v>
      </c>
    </row>
    <row r="9" spans="1:20">
      <c r="D9" s="2"/>
      <c r="E9" s="328"/>
      <c r="F9" s="213" t="s">
        <v>67</v>
      </c>
      <c r="G9" s="2">
        <v>2</v>
      </c>
      <c r="H9" s="2">
        <v>52000</v>
      </c>
      <c r="I9" s="388">
        <f>G9*H9</f>
        <v>104000</v>
      </c>
    </row>
    <row r="10" spans="1:20">
      <c r="D10" s="2"/>
      <c r="E10" s="328"/>
      <c r="F10" s="213" t="s">
        <v>208</v>
      </c>
      <c r="G10" s="2">
        <v>1</v>
      </c>
      <c r="H10" s="2">
        <v>25000</v>
      </c>
      <c r="I10" s="388">
        <f t="shared" ref="I10:I11" si="0">G10*H10</f>
        <v>25000</v>
      </c>
    </row>
    <row r="11" spans="1:20">
      <c r="D11" s="2"/>
      <c r="E11" s="328"/>
      <c r="F11" s="2" t="s">
        <v>69</v>
      </c>
      <c r="G11" s="2">
        <v>3</v>
      </c>
      <c r="H11" s="2">
        <v>15000</v>
      </c>
      <c r="I11" s="388">
        <f t="shared" si="0"/>
        <v>45000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EE00C-FBF6-40C5-B426-713E1B0D3876}">
  <sheetPr codeName="Sheet20"/>
  <dimension ref="B4:I11"/>
  <sheetViews>
    <sheetView workbookViewId="0">
      <selection activeCell="D8" sqref="D8:E11"/>
    </sheetView>
  </sheetViews>
  <sheetFormatPr defaultRowHeight="15"/>
  <cols>
    <col min="3" max="3" width="9.5703125" bestFit="1" customWidth="1"/>
    <col min="4" max="4" width="15.140625" customWidth="1"/>
    <col min="5" max="5" width="9.85546875" customWidth="1"/>
    <col min="6" max="6" width="14.28515625" customWidth="1"/>
    <col min="7" max="7" width="13" customWidth="1"/>
    <col min="8" max="8" width="12" customWidth="1"/>
    <col min="9" max="9" width="11.85546875" customWidth="1"/>
  </cols>
  <sheetData>
    <row r="4" spans="2:9" ht="21">
      <c r="D4" s="362"/>
      <c r="F4" s="361" t="s">
        <v>824</v>
      </c>
    </row>
    <row r="6" spans="2:9">
      <c r="B6" s="1"/>
      <c r="C6" s="1"/>
      <c r="D6" s="1"/>
      <c r="E6" s="1"/>
      <c r="F6" s="1"/>
      <c r="G6" s="1"/>
    </row>
    <row r="7" spans="2:9">
      <c r="B7" s="2"/>
      <c r="C7" s="328"/>
      <c r="D7" s="2"/>
      <c r="E7" s="2"/>
      <c r="F7" s="2"/>
      <c r="G7" s="388"/>
    </row>
    <row r="8" spans="2:9">
      <c r="B8" s="2"/>
      <c r="C8" s="328"/>
      <c r="D8" s="1"/>
      <c r="E8" s="1"/>
      <c r="F8" s="1" t="s">
        <v>202</v>
      </c>
      <c r="G8" s="1" t="s">
        <v>168</v>
      </c>
      <c r="H8" s="1" t="s">
        <v>821</v>
      </c>
      <c r="I8" s="1" t="s">
        <v>822</v>
      </c>
    </row>
    <row r="9" spans="2:9">
      <c r="B9" s="2"/>
      <c r="C9" s="328"/>
      <c r="D9" s="2"/>
      <c r="E9" s="328"/>
      <c r="F9" s="2" t="s">
        <v>212</v>
      </c>
      <c r="G9" s="2">
        <v>2</v>
      </c>
      <c r="H9" s="2">
        <v>36000</v>
      </c>
      <c r="I9" s="388">
        <f>G9*H9</f>
        <v>72000</v>
      </c>
    </row>
    <row r="10" spans="2:9">
      <c r="D10" s="2"/>
      <c r="E10" s="328"/>
      <c r="F10" s="2" t="s">
        <v>50</v>
      </c>
      <c r="G10" s="2">
        <v>2</v>
      </c>
      <c r="H10" s="2">
        <v>11000</v>
      </c>
      <c r="I10" s="388">
        <f t="shared" ref="I10:I11" si="0">G10*H10</f>
        <v>22000</v>
      </c>
    </row>
    <row r="11" spans="2:9">
      <c r="D11" s="2"/>
      <c r="E11" s="328"/>
      <c r="F11" s="2" t="s">
        <v>68</v>
      </c>
      <c r="G11" s="2">
        <v>5</v>
      </c>
      <c r="H11" s="2">
        <v>1200</v>
      </c>
      <c r="I11" s="388">
        <f t="shared" si="0"/>
        <v>6000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DD4B1-B358-4892-8101-498F699DFB93}">
  <sheetPr codeName="Sheet21"/>
  <dimension ref="C3:I12"/>
  <sheetViews>
    <sheetView workbookViewId="0">
      <selection activeCell="D8" sqref="D8:E11"/>
    </sheetView>
  </sheetViews>
  <sheetFormatPr defaultRowHeight="15"/>
  <cols>
    <col min="3" max="3" width="11.28515625" customWidth="1"/>
    <col min="4" max="4" width="15.5703125" customWidth="1"/>
    <col min="5" max="5" width="16.140625" customWidth="1"/>
    <col min="6" max="6" width="13.42578125" customWidth="1"/>
    <col min="7" max="7" width="15.140625" customWidth="1"/>
    <col min="8" max="8" width="14.7109375" customWidth="1"/>
    <col min="9" max="9" width="11.5703125" customWidth="1"/>
  </cols>
  <sheetData>
    <row r="3" spans="3:9" ht="18.75">
      <c r="F3" s="361" t="s">
        <v>825</v>
      </c>
    </row>
    <row r="7" spans="3:9" ht="21">
      <c r="E7" s="362"/>
    </row>
    <row r="8" spans="3:9">
      <c r="D8" s="1"/>
      <c r="E8" s="1"/>
      <c r="F8" s="1" t="s">
        <v>202</v>
      </c>
      <c r="G8" s="1" t="s">
        <v>168</v>
      </c>
      <c r="H8" s="1" t="s">
        <v>821</v>
      </c>
      <c r="I8" s="1" t="s">
        <v>822</v>
      </c>
    </row>
    <row r="9" spans="3:9">
      <c r="C9" s="1"/>
      <c r="D9" s="2"/>
      <c r="E9" s="328"/>
      <c r="F9" s="2" t="s">
        <v>71</v>
      </c>
      <c r="G9" s="2">
        <v>2</v>
      </c>
      <c r="H9" s="2">
        <v>4500</v>
      </c>
      <c r="I9" s="388">
        <f>G9*H9</f>
        <v>9000</v>
      </c>
    </row>
    <row r="10" spans="3:9">
      <c r="C10" s="2"/>
      <c r="D10" s="2"/>
      <c r="E10" s="328"/>
      <c r="F10" s="2" t="s">
        <v>141</v>
      </c>
      <c r="G10" s="2">
        <v>4</v>
      </c>
      <c r="H10" s="2">
        <v>2500</v>
      </c>
      <c r="I10" s="388">
        <f t="shared" ref="I10:I11" si="0">G10*H10</f>
        <v>10000</v>
      </c>
    </row>
    <row r="11" spans="3:9">
      <c r="C11" s="2"/>
      <c r="D11" s="2"/>
      <c r="E11" s="328"/>
      <c r="F11" s="2" t="s">
        <v>58</v>
      </c>
      <c r="G11" s="2">
        <v>3</v>
      </c>
      <c r="H11" s="2">
        <v>5500</v>
      </c>
      <c r="I11" s="388">
        <f t="shared" si="0"/>
        <v>16500</v>
      </c>
    </row>
    <row r="12" spans="3:9">
      <c r="C12" s="2"/>
      <c r="D12" s="328"/>
      <c r="E12" s="2"/>
      <c r="F12" s="2"/>
      <c r="G12" s="2"/>
      <c r="H12" s="386"/>
      <c r="I12" s="38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BA9BC-32D6-4B36-87E1-ED9B510C7100}">
  <sheetPr codeName="Sheet22"/>
  <dimension ref="A1:T44"/>
  <sheetViews>
    <sheetView topLeftCell="A33" workbookViewId="0">
      <selection activeCell="D37" sqref="D37:E37"/>
    </sheetView>
  </sheetViews>
  <sheetFormatPr defaultRowHeight="15"/>
  <cols>
    <col min="3" max="3" width="11.140625" customWidth="1"/>
    <col min="4" max="4" width="13.42578125" customWidth="1"/>
    <col min="6" max="6" width="11.7109375" customWidth="1"/>
    <col min="7" max="8" width="12" customWidth="1"/>
  </cols>
  <sheetData>
    <row r="1" spans="1:12">
      <c r="A1" s="393" t="s">
        <v>826</v>
      </c>
      <c r="B1" s="394"/>
      <c r="C1" s="394"/>
      <c r="D1" s="394"/>
      <c r="E1" s="394"/>
      <c r="F1" s="394"/>
      <c r="G1" s="394"/>
      <c r="H1" s="394"/>
      <c r="I1" s="394"/>
      <c r="J1" s="394"/>
      <c r="K1" s="395"/>
    </row>
    <row r="3" spans="1:12">
      <c r="C3" t="s">
        <v>202</v>
      </c>
      <c r="D3" t="s">
        <v>168</v>
      </c>
      <c r="E3" t="s">
        <v>821</v>
      </c>
      <c r="F3" t="s">
        <v>822</v>
      </c>
    </row>
    <row r="4" spans="1:12">
      <c r="C4" t="s">
        <v>67</v>
      </c>
      <c r="D4">
        <v>2</v>
      </c>
      <c r="E4">
        <v>52000</v>
      </c>
      <c r="F4" s="396">
        <v>104000</v>
      </c>
      <c r="H4" s="396"/>
    </row>
    <row r="5" spans="1:12">
      <c r="C5" s="377" t="s">
        <v>208</v>
      </c>
      <c r="D5">
        <v>1</v>
      </c>
      <c r="E5">
        <v>25000</v>
      </c>
      <c r="F5" s="396">
        <v>25000</v>
      </c>
      <c r="H5" s="396"/>
      <c r="J5" t="s">
        <v>60</v>
      </c>
    </row>
    <row r="6" spans="1:12">
      <c r="C6" s="377" t="s">
        <v>69</v>
      </c>
      <c r="D6">
        <v>3</v>
      </c>
      <c r="E6">
        <v>15000</v>
      </c>
      <c r="F6" s="396">
        <v>45000</v>
      </c>
      <c r="H6" s="396"/>
    </row>
    <row r="7" spans="1:12">
      <c r="C7" s="377" t="s">
        <v>212</v>
      </c>
      <c r="D7">
        <v>2</v>
      </c>
      <c r="E7">
        <v>36000</v>
      </c>
      <c r="F7" s="396">
        <v>72000</v>
      </c>
      <c r="H7" s="396"/>
    </row>
    <row r="8" spans="1:12">
      <c r="C8" s="377" t="s">
        <v>50</v>
      </c>
      <c r="D8">
        <v>2</v>
      </c>
      <c r="E8">
        <v>11000</v>
      </c>
      <c r="F8" s="396">
        <v>22000</v>
      </c>
      <c r="H8" s="396"/>
    </row>
    <row r="9" spans="1:12">
      <c r="C9" s="377" t="s">
        <v>68</v>
      </c>
      <c r="D9">
        <v>5</v>
      </c>
      <c r="E9">
        <v>1200</v>
      </c>
      <c r="F9" s="396">
        <v>6000</v>
      </c>
      <c r="H9" s="396"/>
    </row>
    <row r="10" spans="1:12">
      <c r="C10" s="377" t="s">
        <v>71</v>
      </c>
      <c r="D10">
        <v>2</v>
      </c>
      <c r="E10">
        <v>4500</v>
      </c>
      <c r="F10" s="396">
        <v>9000</v>
      </c>
      <c r="H10" s="396"/>
    </row>
    <row r="11" spans="1:12">
      <c r="C11" s="377" t="s">
        <v>141</v>
      </c>
      <c r="D11">
        <v>4</v>
      </c>
      <c r="E11">
        <v>2500</v>
      </c>
      <c r="F11" s="396">
        <v>10000</v>
      </c>
      <c r="H11" s="396"/>
    </row>
    <row r="12" spans="1:12">
      <c r="C12" s="377" t="s">
        <v>58</v>
      </c>
      <c r="D12">
        <v>3</v>
      </c>
      <c r="E12">
        <v>5500</v>
      </c>
      <c r="F12" s="396">
        <v>16500</v>
      </c>
      <c r="H12" s="396"/>
    </row>
    <row r="13" spans="1:12">
      <c r="C13" s="377"/>
      <c r="D13" s="377"/>
      <c r="H13" s="396"/>
    </row>
    <row r="15" spans="1:12">
      <c r="A15" s="238" t="s">
        <v>827</v>
      </c>
      <c r="B15" s="94"/>
      <c r="C15" s="94"/>
      <c r="D15" s="94"/>
      <c r="E15" s="94"/>
      <c r="F15" s="94"/>
      <c r="G15" s="94"/>
      <c r="H15" s="94"/>
      <c r="L15" t="s">
        <v>60</v>
      </c>
    </row>
    <row r="17" spans="1:20">
      <c r="A17" t="s">
        <v>828</v>
      </c>
      <c r="C17" t="s">
        <v>202</v>
      </c>
      <c r="D17" t="s">
        <v>168</v>
      </c>
      <c r="E17" t="s">
        <v>821</v>
      </c>
      <c r="F17" t="s">
        <v>822</v>
      </c>
      <c r="H17" t="s">
        <v>829</v>
      </c>
      <c r="I17" t="s">
        <v>202</v>
      </c>
      <c r="J17" t="s">
        <v>168</v>
      </c>
      <c r="K17" t="s">
        <v>821</v>
      </c>
      <c r="L17" t="s">
        <v>822</v>
      </c>
      <c r="N17" t="s">
        <v>830</v>
      </c>
      <c r="O17" t="s">
        <v>202</v>
      </c>
      <c r="P17" t="s">
        <v>168</v>
      </c>
      <c r="Q17" t="s">
        <v>821</v>
      </c>
      <c r="R17" t="s">
        <v>822</v>
      </c>
    </row>
    <row r="18" spans="1:20">
      <c r="C18" t="s">
        <v>67</v>
      </c>
      <c r="D18">
        <v>2</v>
      </c>
      <c r="E18">
        <v>52000</v>
      </c>
      <c r="F18" s="396">
        <v>104000</v>
      </c>
      <c r="I18" t="s">
        <v>67</v>
      </c>
      <c r="J18">
        <v>1</v>
      </c>
      <c r="K18">
        <v>1</v>
      </c>
      <c r="L18" s="396">
        <v>1</v>
      </c>
      <c r="O18" t="s">
        <v>67</v>
      </c>
      <c r="P18">
        <v>2</v>
      </c>
      <c r="Q18">
        <v>52000</v>
      </c>
      <c r="R18" s="396">
        <v>104000</v>
      </c>
    </row>
    <row r="19" spans="1:20">
      <c r="C19" t="s">
        <v>208</v>
      </c>
      <c r="D19">
        <v>1</v>
      </c>
      <c r="E19">
        <v>25000</v>
      </c>
      <c r="F19" s="396">
        <v>25000</v>
      </c>
      <c r="I19" t="s">
        <v>208</v>
      </c>
      <c r="J19">
        <v>1</v>
      </c>
      <c r="K19">
        <v>1</v>
      </c>
      <c r="L19" s="396">
        <v>1</v>
      </c>
      <c r="O19" t="s">
        <v>208</v>
      </c>
      <c r="P19">
        <v>1</v>
      </c>
      <c r="Q19">
        <v>25000</v>
      </c>
      <c r="R19" s="396">
        <v>25000</v>
      </c>
    </row>
    <row r="20" spans="1:20">
      <c r="C20" t="s">
        <v>69</v>
      </c>
      <c r="D20">
        <v>3</v>
      </c>
      <c r="E20">
        <v>15000</v>
      </c>
      <c r="F20" s="396">
        <v>45000</v>
      </c>
      <c r="I20" t="s">
        <v>69</v>
      </c>
      <c r="J20">
        <v>1</v>
      </c>
      <c r="K20">
        <v>1</v>
      </c>
      <c r="L20" s="396">
        <v>1</v>
      </c>
      <c r="O20" t="s">
        <v>69</v>
      </c>
      <c r="P20">
        <v>3</v>
      </c>
      <c r="Q20">
        <v>15000</v>
      </c>
      <c r="R20" s="396">
        <v>45000</v>
      </c>
    </row>
    <row r="21" spans="1:20">
      <c r="C21" t="s">
        <v>212</v>
      </c>
      <c r="D21">
        <v>2</v>
      </c>
      <c r="E21">
        <v>36000</v>
      </c>
      <c r="F21" s="396">
        <v>72000</v>
      </c>
      <c r="I21" t="s">
        <v>212</v>
      </c>
      <c r="J21">
        <v>1</v>
      </c>
      <c r="K21">
        <v>1</v>
      </c>
      <c r="L21" s="396">
        <v>1</v>
      </c>
      <c r="O21" t="s">
        <v>212</v>
      </c>
      <c r="P21">
        <v>2</v>
      </c>
      <c r="Q21">
        <v>36000</v>
      </c>
      <c r="R21" s="396">
        <v>72000</v>
      </c>
    </row>
    <row r="22" spans="1:20">
      <c r="C22" t="s">
        <v>50</v>
      </c>
      <c r="D22">
        <v>2</v>
      </c>
      <c r="E22">
        <v>11000</v>
      </c>
      <c r="F22" s="396">
        <v>22000</v>
      </c>
      <c r="I22" t="s">
        <v>50</v>
      </c>
      <c r="J22">
        <v>1</v>
      </c>
      <c r="K22">
        <v>1</v>
      </c>
      <c r="L22" s="396">
        <v>1</v>
      </c>
      <c r="O22" t="s">
        <v>50</v>
      </c>
      <c r="P22">
        <v>2</v>
      </c>
      <c r="Q22">
        <v>11000</v>
      </c>
      <c r="R22" s="396">
        <v>22000</v>
      </c>
    </row>
    <row r="23" spans="1:20">
      <c r="C23" t="s">
        <v>68</v>
      </c>
      <c r="D23">
        <v>5</v>
      </c>
      <c r="E23">
        <v>1200</v>
      </c>
      <c r="F23" s="396">
        <v>6000</v>
      </c>
      <c r="I23" t="s">
        <v>68</v>
      </c>
      <c r="J23">
        <v>1</v>
      </c>
      <c r="K23">
        <v>1</v>
      </c>
      <c r="L23" s="396">
        <v>1</v>
      </c>
      <c r="O23" t="s">
        <v>68</v>
      </c>
      <c r="P23">
        <v>5</v>
      </c>
      <c r="Q23">
        <v>1200</v>
      </c>
      <c r="R23" s="396">
        <v>6000</v>
      </c>
    </row>
    <row r="24" spans="1:20">
      <c r="C24" t="s">
        <v>71</v>
      </c>
      <c r="D24">
        <v>2</v>
      </c>
      <c r="E24">
        <v>4500</v>
      </c>
      <c r="F24" s="396">
        <v>9000</v>
      </c>
      <c r="I24" t="s">
        <v>71</v>
      </c>
      <c r="J24">
        <v>1</v>
      </c>
      <c r="K24">
        <v>1</v>
      </c>
      <c r="L24" s="396">
        <v>1</v>
      </c>
      <c r="O24" t="s">
        <v>71</v>
      </c>
      <c r="P24">
        <v>2</v>
      </c>
      <c r="Q24">
        <v>4500</v>
      </c>
      <c r="R24" s="396">
        <v>9000</v>
      </c>
    </row>
    <row r="25" spans="1:20">
      <c r="C25" t="s">
        <v>141</v>
      </c>
      <c r="D25">
        <v>4</v>
      </c>
      <c r="E25">
        <v>2500</v>
      </c>
      <c r="F25" s="396">
        <v>10000</v>
      </c>
      <c r="I25" t="s">
        <v>141</v>
      </c>
      <c r="J25">
        <v>1</v>
      </c>
      <c r="K25">
        <v>1</v>
      </c>
      <c r="L25" s="396">
        <v>1</v>
      </c>
      <c r="O25" t="s">
        <v>141</v>
      </c>
      <c r="P25">
        <v>4</v>
      </c>
      <c r="Q25">
        <v>2500</v>
      </c>
      <c r="R25" s="396">
        <v>10000</v>
      </c>
    </row>
    <row r="26" spans="1:20">
      <c r="C26" t="s">
        <v>58</v>
      </c>
      <c r="D26">
        <v>3</v>
      </c>
      <c r="E26">
        <v>5500</v>
      </c>
      <c r="F26" s="396">
        <v>16500</v>
      </c>
      <c r="I26" t="s">
        <v>58</v>
      </c>
      <c r="J26">
        <v>1</v>
      </c>
      <c r="K26">
        <v>1</v>
      </c>
      <c r="L26" s="396">
        <v>1</v>
      </c>
      <c r="O26" t="s">
        <v>58</v>
      </c>
      <c r="P26">
        <v>3</v>
      </c>
      <c r="Q26">
        <v>5500</v>
      </c>
      <c r="R26" s="396">
        <v>16500</v>
      </c>
    </row>
    <row r="28" spans="1:20">
      <c r="A28" s="397" t="s">
        <v>831</v>
      </c>
      <c r="B28" s="88"/>
      <c r="C28" s="88"/>
      <c r="D28" s="88"/>
      <c r="L28" s="398" t="s">
        <v>836</v>
      </c>
      <c r="M28" s="351"/>
      <c r="N28" s="351"/>
      <c r="O28" s="351"/>
      <c r="P28" s="351"/>
      <c r="Q28" s="351"/>
      <c r="R28" s="351"/>
      <c r="S28" s="351"/>
      <c r="T28" s="19"/>
    </row>
    <row r="30" spans="1:20">
      <c r="A30" s="23" t="s">
        <v>832</v>
      </c>
      <c r="M30" t="s">
        <v>837</v>
      </c>
    </row>
    <row r="31" spans="1:20">
      <c r="A31" s="23" t="s">
        <v>833</v>
      </c>
      <c r="M31" t="s">
        <v>838</v>
      </c>
    </row>
    <row r="32" spans="1:20">
      <c r="A32" s="23" t="s">
        <v>834</v>
      </c>
      <c r="M32" t="s">
        <v>839</v>
      </c>
    </row>
    <row r="33" spans="1:13">
      <c r="A33" s="23" t="s">
        <v>835</v>
      </c>
      <c r="M33" t="s">
        <v>84</v>
      </c>
    </row>
    <row r="34" spans="1:13">
      <c r="M34" s="22" t="s">
        <v>840</v>
      </c>
    </row>
    <row r="35" spans="1:13">
      <c r="M35" t="s">
        <v>841</v>
      </c>
    </row>
    <row r="37" spans="1:13" ht="20.25" customHeight="1">
      <c r="D37" s="381"/>
    </row>
    <row r="39" spans="1:13">
      <c r="J39" s="1"/>
      <c r="K39" s="1"/>
      <c r="L39" s="1"/>
    </row>
    <row r="40" spans="1:13">
      <c r="J40" s="2"/>
      <c r="K40" s="2"/>
      <c r="L40" s="3"/>
    </row>
    <row r="41" spans="1:13">
      <c r="J41" s="2"/>
      <c r="K41" s="2"/>
      <c r="L41" s="3"/>
    </row>
    <row r="42" spans="1:13">
      <c r="J42" s="2"/>
      <c r="K42" s="2"/>
      <c r="L42" s="3"/>
    </row>
    <row r="43" spans="1:13">
      <c r="J43" s="2"/>
      <c r="K43" s="2"/>
      <c r="L43" s="3"/>
    </row>
    <row r="44" spans="1:13">
      <c r="J44" s="2"/>
      <c r="K44" s="2"/>
      <c r="L44" s="3"/>
    </row>
  </sheetData>
  <dataConsolidate function="max" topLabels="1">
    <dataRefs count="3">
      <dataRef ref="F8:I11" sheet="Section11-1"/>
      <dataRef ref="F8:I11" sheet="Section11-2"/>
      <dataRef ref="F8:I11" sheet="Section11-3"/>
    </dataRefs>
  </dataConsolid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E68C-0A48-4499-A0EA-9229B97DE523}">
  <sheetPr codeName="Sheet23"/>
  <dimension ref="B2:M40"/>
  <sheetViews>
    <sheetView topLeftCell="A25" workbookViewId="0">
      <selection activeCell="K30" sqref="K30"/>
    </sheetView>
  </sheetViews>
  <sheetFormatPr defaultRowHeight="15"/>
  <cols>
    <col min="3" max="3" width="12.85546875" customWidth="1"/>
    <col min="5" max="5" width="13.140625" customWidth="1"/>
    <col min="6" max="6" width="11.140625" customWidth="1"/>
    <col min="7" max="7" width="11.7109375" customWidth="1"/>
    <col min="8" max="8" width="10.85546875" customWidth="1"/>
    <col min="9" max="9" width="14.5703125" customWidth="1"/>
    <col min="11" max="11" width="14.28515625" customWidth="1"/>
    <col min="13" max="13" width="10.42578125" customWidth="1"/>
  </cols>
  <sheetData>
    <row r="2" spans="2:11" ht="18.75">
      <c r="D2" s="361" t="s">
        <v>778</v>
      </c>
      <c r="I2" s="361" t="s">
        <v>843</v>
      </c>
    </row>
    <row r="5" spans="2:11">
      <c r="B5" s="1" t="s">
        <v>255</v>
      </c>
      <c r="C5" s="1" t="s">
        <v>130</v>
      </c>
      <c r="D5" s="1" t="s">
        <v>72</v>
      </c>
      <c r="E5" s="1" t="s">
        <v>842</v>
      </c>
      <c r="H5" s="1" t="s">
        <v>255</v>
      </c>
      <c r="I5" s="1" t="s">
        <v>130</v>
      </c>
      <c r="J5" s="1" t="s">
        <v>72</v>
      </c>
      <c r="K5" s="1" t="s">
        <v>842</v>
      </c>
    </row>
    <row r="6" spans="2:11">
      <c r="B6" s="2" t="s">
        <v>257</v>
      </c>
      <c r="C6" s="2">
        <v>2</v>
      </c>
      <c r="D6" s="2">
        <v>52000</v>
      </c>
      <c r="E6" s="2">
        <v>104000</v>
      </c>
      <c r="H6" s="2" t="s">
        <v>260</v>
      </c>
      <c r="I6" s="2">
        <v>2</v>
      </c>
      <c r="J6" s="2">
        <v>36000</v>
      </c>
      <c r="K6" s="2">
        <v>72000</v>
      </c>
    </row>
    <row r="7" spans="2:11">
      <c r="B7" s="2" t="s">
        <v>257</v>
      </c>
      <c r="C7" s="2">
        <v>1</v>
      </c>
      <c r="D7" s="2">
        <v>25000</v>
      </c>
      <c r="E7" s="2">
        <v>25000</v>
      </c>
      <c r="H7" s="2" t="s">
        <v>260</v>
      </c>
      <c r="I7" s="2">
        <v>2</v>
      </c>
      <c r="J7" s="2">
        <v>15000</v>
      </c>
      <c r="K7" s="2">
        <v>30000</v>
      </c>
    </row>
    <row r="8" spans="2:11">
      <c r="B8" s="2" t="s">
        <v>257</v>
      </c>
      <c r="C8" s="2">
        <v>3</v>
      </c>
      <c r="D8" s="2">
        <v>15000</v>
      </c>
      <c r="E8" s="2">
        <v>45000</v>
      </c>
      <c r="H8" s="2" t="s">
        <v>260</v>
      </c>
      <c r="I8" s="2">
        <v>5</v>
      </c>
      <c r="J8" s="2">
        <v>1200</v>
      </c>
      <c r="K8" s="2">
        <v>6000</v>
      </c>
    </row>
    <row r="10" spans="2:11" ht="21">
      <c r="C10" s="362" t="s">
        <v>844</v>
      </c>
      <c r="I10" s="362" t="s">
        <v>845</v>
      </c>
    </row>
    <row r="13" spans="2:11">
      <c r="B13" s="1" t="s">
        <v>255</v>
      </c>
      <c r="C13" s="1" t="s">
        <v>130</v>
      </c>
      <c r="D13" s="1" t="s">
        <v>72</v>
      </c>
      <c r="E13" s="1" t="s">
        <v>842</v>
      </c>
      <c r="H13" s="1" t="s">
        <v>255</v>
      </c>
      <c r="I13" s="1" t="s">
        <v>130</v>
      </c>
      <c r="J13" s="1" t="s">
        <v>72</v>
      </c>
      <c r="K13" s="1" t="s">
        <v>842</v>
      </c>
    </row>
    <row r="14" spans="2:11">
      <c r="B14" s="2" t="s">
        <v>258</v>
      </c>
      <c r="C14" s="2">
        <v>2</v>
      </c>
      <c r="D14" s="2">
        <v>4500</v>
      </c>
      <c r="E14" s="2">
        <v>9000</v>
      </c>
      <c r="H14" s="2" t="s">
        <v>259</v>
      </c>
      <c r="I14" s="2">
        <v>3</v>
      </c>
      <c r="J14" s="2">
        <v>4000</v>
      </c>
      <c r="K14" s="2">
        <v>12000</v>
      </c>
    </row>
    <row r="15" spans="2:11">
      <c r="B15" s="2" t="s">
        <v>258</v>
      </c>
      <c r="C15" s="2">
        <v>4</v>
      </c>
      <c r="D15" s="2">
        <v>2500</v>
      </c>
      <c r="E15" s="2">
        <v>10000</v>
      </c>
      <c r="H15" s="2" t="s">
        <v>259</v>
      </c>
      <c r="I15" s="2">
        <v>2</v>
      </c>
      <c r="J15" s="2">
        <v>3000</v>
      </c>
      <c r="K15" s="2">
        <v>6000</v>
      </c>
    </row>
    <row r="16" spans="2:11">
      <c r="B16" s="2" t="s">
        <v>258</v>
      </c>
      <c r="C16" s="2">
        <v>3</v>
      </c>
      <c r="D16" s="2">
        <v>2000</v>
      </c>
      <c r="E16" s="2">
        <v>6000</v>
      </c>
      <c r="H16" s="2" t="s">
        <v>259</v>
      </c>
      <c r="I16" s="2">
        <v>1</v>
      </c>
      <c r="J16" s="2">
        <v>2000</v>
      </c>
      <c r="K16" s="2">
        <v>2000</v>
      </c>
    </row>
    <row r="18" spans="2:13" ht="24">
      <c r="E18" s="399" t="s">
        <v>848</v>
      </c>
      <c r="F18" s="399"/>
      <c r="G18" s="399"/>
      <c r="H18" s="399"/>
      <c r="I18" s="19"/>
    </row>
    <row r="21" spans="2:13" ht="30">
      <c r="B21" s="196" t="s">
        <v>656</v>
      </c>
      <c r="C21" s="196" t="s">
        <v>130</v>
      </c>
      <c r="D21" s="196" t="s">
        <v>72</v>
      </c>
      <c r="E21" s="196" t="s">
        <v>842</v>
      </c>
      <c r="J21" s="196" t="s">
        <v>656</v>
      </c>
      <c r="K21" s="196" t="s">
        <v>130</v>
      </c>
      <c r="L21" s="196" t="s">
        <v>72</v>
      </c>
      <c r="M21" s="196" t="s">
        <v>842</v>
      </c>
    </row>
    <row r="22" spans="2:13">
      <c r="B22" s="265" t="s">
        <v>67</v>
      </c>
      <c r="C22" s="265">
        <v>2</v>
      </c>
      <c r="D22" s="265">
        <v>52000</v>
      </c>
      <c r="E22" s="265">
        <v>104000</v>
      </c>
      <c r="J22" s="265" t="s">
        <v>68</v>
      </c>
      <c r="K22" s="265">
        <v>5</v>
      </c>
      <c r="L22" s="265">
        <v>1200</v>
      </c>
      <c r="M22" s="265">
        <v>6000</v>
      </c>
    </row>
    <row r="23" spans="2:13" ht="30">
      <c r="B23" s="265" t="s">
        <v>208</v>
      </c>
      <c r="C23" s="265">
        <v>3</v>
      </c>
      <c r="D23" s="265">
        <v>25000</v>
      </c>
      <c r="E23" s="265">
        <v>75000</v>
      </c>
      <c r="J23" s="265" t="s">
        <v>58</v>
      </c>
      <c r="K23" s="265">
        <v>2</v>
      </c>
      <c r="L23" s="265">
        <v>2000</v>
      </c>
      <c r="M23" s="265">
        <v>4000</v>
      </c>
    </row>
    <row r="24" spans="2:13" ht="30">
      <c r="B24" s="265" t="s">
        <v>69</v>
      </c>
      <c r="C24" s="265">
        <v>1</v>
      </c>
      <c r="D24" s="265">
        <v>15000</v>
      </c>
      <c r="E24" s="265">
        <v>15000</v>
      </c>
      <c r="J24" s="265" t="s">
        <v>71</v>
      </c>
      <c r="K24" s="265">
        <v>3</v>
      </c>
      <c r="L24" s="265">
        <v>4500</v>
      </c>
      <c r="M24" s="265">
        <v>13500</v>
      </c>
    </row>
    <row r="27" spans="2:13">
      <c r="E27" s="196" t="s">
        <v>656</v>
      </c>
      <c r="F27" s="196" t="s">
        <v>130</v>
      </c>
      <c r="G27" s="196" t="s">
        <v>72</v>
      </c>
      <c r="H27" s="196" t="s">
        <v>842</v>
      </c>
    </row>
    <row r="28" spans="2:13">
      <c r="E28" s="265" t="s">
        <v>50</v>
      </c>
      <c r="F28" s="265">
        <v>4</v>
      </c>
      <c r="G28" s="265">
        <v>11000</v>
      </c>
      <c r="H28" s="265">
        <v>44000</v>
      </c>
    </row>
    <row r="29" spans="2:13">
      <c r="E29" s="265" t="s">
        <v>141</v>
      </c>
      <c r="F29" s="265">
        <v>6</v>
      </c>
      <c r="G29" s="265">
        <v>2500</v>
      </c>
      <c r="H29" s="265">
        <v>15000</v>
      </c>
    </row>
    <row r="34" spans="2:9" ht="21">
      <c r="E34" s="362" t="s">
        <v>858</v>
      </c>
      <c r="F34" s="362"/>
    </row>
    <row r="37" spans="2:9" ht="16.5">
      <c r="B37" s="401" t="s">
        <v>854</v>
      </c>
      <c r="C37" s="401" t="s">
        <v>850</v>
      </c>
      <c r="D37" s="401" t="s">
        <v>72</v>
      </c>
      <c r="G37" s="401" t="s">
        <v>854</v>
      </c>
      <c r="H37" s="401" t="s">
        <v>850</v>
      </c>
      <c r="I37" s="401" t="s">
        <v>72</v>
      </c>
    </row>
    <row r="38" spans="2:9" ht="16.5">
      <c r="B38" s="402" t="s">
        <v>851</v>
      </c>
      <c r="C38" s="402">
        <v>50</v>
      </c>
      <c r="D38" s="402">
        <v>20</v>
      </c>
      <c r="G38" s="402" t="s">
        <v>856</v>
      </c>
      <c r="H38" s="402">
        <v>40</v>
      </c>
      <c r="I38" s="402">
        <v>20</v>
      </c>
    </row>
    <row r="39" spans="2:9" ht="16.5">
      <c r="B39" s="402" t="s">
        <v>852</v>
      </c>
      <c r="C39" s="402">
        <v>30</v>
      </c>
      <c r="D39" s="402">
        <v>45</v>
      </c>
      <c r="G39" s="402" t="s">
        <v>857</v>
      </c>
      <c r="H39" s="402">
        <v>15</v>
      </c>
      <c r="I39" s="402">
        <v>80</v>
      </c>
    </row>
    <row r="40" spans="2:9" ht="16.5">
      <c r="B40" s="402" t="s">
        <v>853</v>
      </c>
      <c r="C40" s="402">
        <v>20</v>
      </c>
      <c r="D40" s="402">
        <v>80</v>
      </c>
      <c r="G40" s="402" t="s">
        <v>855</v>
      </c>
      <c r="H40" s="402">
        <v>25</v>
      </c>
      <c r="I40" s="402">
        <v>15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707A5-8918-4334-A4C3-A359295F4503}">
  <sheetPr codeName="Sheet24"/>
  <dimension ref="A1:R146"/>
  <sheetViews>
    <sheetView topLeftCell="A131" workbookViewId="0">
      <selection activeCell="E148" sqref="E148"/>
    </sheetView>
  </sheetViews>
  <sheetFormatPr defaultRowHeight="15" outlineLevelRow="2"/>
  <cols>
    <col min="2" max="2" width="17.7109375" customWidth="1"/>
    <col min="3" max="3" width="19.140625" customWidth="1"/>
    <col min="4" max="4" width="13" customWidth="1"/>
    <col min="5" max="5" width="16.140625" customWidth="1"/>
    <col min="6" max="6" width="13.28515625" customWidth="1"/>
    <col min="7" max="7" width="14.42578125" customWidth="1"/>
    <col min="8" max="8" width="13.7109375" customWidth="1"/>
    <col min="12" max="12" width="13.140625" customWidth="1"/>
    <col min="13" max="13" width="11.140625" customWidth="1"/>
    <col min="15" max="15" width="11.85546875" customWidth="1"/>
  </cols>
  <sheetData>
    <row r="1" spans="1:18">
      <c r="A1" s="260" t="s">
        <v>846</v>
      </c>
      <c r="B1" s="261"/>
      <c r="C1" s="261"/>
      <c r="D1" s="261"/>
      <c r="E1" s="261"/>
      <c r="F1" s="261"/>
      <c r="G1" s="261"/>
      <c r="H1" s="261"/>
      <c r="I1" s="269"/>
      <c r="L1" s="292" t="s">
        <v>847</v>
      </c>
      <c r="M1" s="294"/>
      <c r="N1" s="294"/>
      <c r="O1" s="294"/>
      <c r="P1" s="294"/>
      <c r="Q1" s="294"/>
    </row>
    <row r="3" spans="1:18">
      <c r="B3" t="s">
        <v>255</v>
      </c>
      <c r="C3" t="s">
        <v>130</v>
      </c>
      <c r="D3" t="s">
        <v>72</v>
      </c>
      <c r="E3" t="s">
        <v>842</v>
      </c>
      <c r="L3" t="s">
        <v>656</v>
      </c>
      <c r="M3" t="s">
        <v>130</v>
      </c>
      <c r="N3" t="s">
        <v>72</v>
      </c>
      <c r="O3" t="s">
        <v>842</v>
      </c>
    </row>
    <row r="4" spans="1:18">
      <c r="B4" t="s">
        <v>257</v>
      </c>
      <c r="C4">
        <v>6</v>
      </c>
      <c r="D4">
        <v>92000</v>
      </c>
      <c r="E4">
        <v>174000</v>
      </c>
      <c r="L4" t="s">
        <v>67</v>
      </c>
      <c r="M4">
        <v>2</v>
      </c>
      <c r="N4">
        <v>52000</v>
      </c>
      <c r="O4">
        <v>104000</v>
      </c>
    </row>
    <row r="5" spans="1:18">
      <c r="B5" t="s">
        <v>260</v>
      </c>
      <c r="C5">
        <v>9</v>
      </c>
      <c r="D5">
        <v>52200</v>
      </c>
      <c r="E5">
        <v>108000</v>
      </c>
      <c r="L5" t="s">
        <v>208</v>
      </c>
      <c r="M5">
        <v>3</v>
      </c>
      <c r="N5">
        <v>25000</v>
      </c>
      <c r="O5">
        <v>75000</v>
      </c>
    </row>
    <row r="6" spans="1:18">
      <c r="B6" t="s">
        <v>258</v>
      </c>
      <c r="C6">
        <v>9</v>
      </c>
      <c r="D6">
        <v>9000</v>
      </c>
      <c r="E6">
        <v>25000</v>
      </c>
      <c r="L6" t="s">
        <v>69</v>
      </c>
      <c r="M6">
        <v>1</v>
      </c>
      <c r="N6">
        <v>15000</v>
      </c>
      <c r="O6">
        <v>15000</v>
      </c>
    </row>
    <row r="7" spans="1:18">
      <c r="B7" t="s">
        <v>259</v>
      </c>
      <c r="C7">
        <v>6</v>
      </c>
      <c r="D7">
        <v>9000</v>
      </c>
      <c r="E7">
        <v>20000</v>
      </c>
      <c r="L7" t="s">
        <v>68</v>
      </c>
      <c r="M7">
        <v>5</v>
      </c>
      <c r="N7">
        <v>1200</v>
      </c>
      <c r="O7">
        <v>6000</v>
      </c>
    </row>
    <row r="8" spans="1:18">
      <c r="L8" t="s">
        <v>58</v>
      </c>
      <c r="M8">
        <v>2</v>
      </c>
      <c r="N8">
        <v>2000</v>
      </c>
      <c r="O8">
        <v>4000</v>
      </c>
    </row>
    <row r="9" spans="1:18">
      <c r="L9" t="s">
        <v>71</v>
      </c>
      <c r="M9">
        <v>3</v>
      </c>
      <c r="N9">
        <v>4500</v>
      </c>
      <c r="O9">
        <v>13500</v>
      </c>
    </row>
    <row r="10" spans="1:18">
      <c r="L10" t="s">
        <v>50</v>
      </c>
      <c r="M10">
        <v>4</v>
      </c>
      <c r="N10">
        <v>11000</v>
      </c>
      <c r="O10">
        <v>44000</v>
      </c>
    </row>
    <row r="11" spans="1:18">
      <c r="L11" t="s">
        <v>141</v>
      </c>
      <c r="M11">
        <v>6</v>
      </c>
      <c r="N11">
        <v>2500</v>
      </c>
      <c r="O11">
        <v>15000</v>
      </c>
    </row>
    <row r="13" spans="1:18">
      <c r="A13" s="400" t="s">
        <v>849</v>
      </c>
      <c r="B13" s="390"/>
      <c r="C13" s="390"/>
      <c r="D13" s="390"/>
      <c r="E13" s="390"/>
      <c r="F13" s="390"/>
      <c r="G13" s="390"/>
      <c r="L13" s="403" t="s">
        <v>860</v>
      </c>
      <c r="M13" s="404"/>
      <c r="N13" s="404"/>
      <c r="O13" s="404"/>
      <c r="P13" s="404"/>
      <c r="Q13" s="404"/>
      <c r="R13" s="404"/>
    </row>
    <row r="15" spans="1:18">
      <c r="B15" t="s">
        <v>859</v>
      </c>
      <c r="C15" t="s">
        <v>850</v>
      </c>
      <c r="D15" t="s">
        <v>72</v>
      </c>
      <c r="L15" t="s">
        <v>861</v>
      </c>
    </row>
    <row r="16" spans="1:18">
      <c r="B16" t="s">
        <v>851</v>
      </c>
      <c r="C16">
        <v>50</v>
      </c>
      <c r="D16">
        <v>20</v>
      </c>
      <c r="L16" t="s">
        <v>84</v>
      </c>
    </row>
    <row r="17" spans="1:12">
      <c r="B17" t="s">
        <v>852</v>
      </c>
      <c r="C17">
        <v>30</v>
      </c>
      <c r="D17">
        <v>45</v>
      </c>
      <c r="L17" t="s">
        <v>862</v>
      </c>
    </row>
    <row r="18" spans="1:12">
      <c r="B18" t="s">
        <v>853</v>
      </c>
      <c r="C18">
        <v>20</v>
      </c>
      <c r="D18">
        <v>80</v>
      </c>
      <c r="L18" t="s">
        <v>863</v>
      </c>
    </row>
    <row r="19" spans="1:12">
      <c r="B19" t="s">
        <v>856</v>
      </c>
      <c r="C19">
        <v>40</v>
      </c>
      <c r="D19">
        <v>20</v>
      </c>
      <c r="L19" t="s">
        <v>83</v>
      </c>
    </row>
    <row r="20" spans="1:12">
      <c r="B20" t="s">
        <v>857</v>
      </c>
      <c r="C20">
        <v>15</v>
      </c>
      <c r="D20">
        <v>80</v>
      </c>
      <c r="L20" t="s">
        <v>864</v>
      </c>
    </row>
    <row r="21" spans="1:12">
      <c r="B21" t="s">
        <v>855</v>
      </c>
      <c r="C21">
        <v>25</v>
      </c>
      <c r="D21">
        <v>15</v>
      </c>
      <c r="L21" t="s">
        <v>865</v>
      </c>
    </row>
    <row r="24" spans="1:12" ht="24">
      <c r="E24" s="381" t="s">
        <v>768</v>
      </c>
    </row>
    <row r="25" spans="1:12">
      <c r="A25" s="245" t="s">
        <v>886</v>
      </c>
      <c r="B25" s="246"/>
      <c r="C25" s="246"/>
      <c r="D25" s="246"/>
      <c r="E25" s="246"/>
      <c r="F25" s="247"/>
    </row>
    <row r="26" spans="1:12">
      <c r="A26" s="406" t="s">
        <v>199</v>
      </c>
      <c r="B26" s="1" t="s">
        <v>866</v>
      </c>
      <c r="C26" s="1" t="s">
        <v>867</v>
      </c>
      <c r="D26" s="406" t="s">
        <v>868</v>
      </c>
      <c r="E26" s="1" t="s">
        <v>869</v>
      </c>
      <c r="F26" s="1" t="s">
        <v>254</v>
      </c>
      <c r="G26" s="1" t="s">
        <v>255</v>
      </c>
      <c r="H26" s="1" t="s">
        <v>870</v>
      </c>
    </row>
    <row r="27" spans="1:12" outlineLevel="2">
      <c r="A27" s="405">
        <v>1001</v>
      </c>
      <c r="B27" s="2" t="s">
        <v>875</v>
      </c>
      <c r="C27" s="2" t="s">
        <v>143</v>
      </c>
      <c r="D27" s="405">
        <v>120</v>
      </c>
      <c r="E27" s="3">
        <v>2499</v>
      </c>
      <c r="F27" s="3">
        <v>299880</v>
      </c>
      <c r="G27" s="2" t="s">
        <v>257</v>
      </c>
      <c r="H27" s="142">
        <v>45809</v>
      </c>
    </row>
    <row r="28" spans="1:12" outlineLevel="2">
      <c r="A28" s="405">
        <v>1002</v>
      </c>
      <c r="B28" s="2" t="s">
        <v>875</v>
      </c>
      <c r="C28" s="2" t="s">
        <v>872</v>
      </c>
      <c r="D28" s="405">
        <v>75</v>
      </c>
      <c r="E28" s="3">
        <v>4999</v>
      </c>
      <c r="F28" s="3">
        <v>374925</v>
      </c>
      <c r="G28" s="2" t="s">
        <v>260</v>
      </c>
      <c r="H28" s="142">
        <v>45813</v>
      </c>
    </row>
    <row r="29" spans="1:12" outlineLevel="2">
      <c r="A29" s="405">
        <v>1003</v>
      </c>
      <c r="B29" s="2" t="s">
        <v>875</v>
      </c>
      <c r="C29" s="2" t="s">
        <v>874</v>
      </c>
      <c r="D29" s="405">
        <v>48</v>
      </c>
      <c r="E29" s="3">
        <v>6799</v>
      </c>
      <c r="F29" s="3">
        <v>326352</v>
      </c>
      <c r="G29" s="2" t="s">
        <v>258</v>
      </c>
      <c r="H29" s="142">
        <v>45815</v>
      </c>
    </row>
    <row r="30" spans="1:12" outlineLevel="1">
      <c r="A30" s="405"/>
      <c r="B30" s="280" t="s">
        <v>887</v>
      </c>
      <c r="C30" s="2"/>
      <c r="D30" s="405"/>
      <c r="E30" s="3"/>
      <c r="F30" s="3">
        <f>SUBTOTAL(9,F27:F29)</f>
        <v>1001157</v>
      </c>
      <c r="G30" s="2"/>
      <c r="H30" s="142"/>
    </row>
    <row r="31" spans="1:12" outlineLevel="2">
      <c r="A31" s="405">
        <v>1004</v>
      </c>
      <c r="B31" s="2" t="s">
        <v>643</v>
      </c>
      <c r="C31" s="2" t="s">
        <v>876</v>
      </c>
      <c r="D31" s="405">
        <v>180</v>
      </c>
      <c r="E31" s="3">
        <v>1299</v>
      </c>
      <c r="F31" s="3">
        <v>233820</v>
      </c>
      <c r="G31" s="2" t="s">
        <v>259</v>
      </c>
      <c r="H31" s="142">
        <v>45816</v>
      </c>
    </row>
    <row r="32" spans="1:12" outlineLevel="2">
      <c r="A32" s="405">
        <v>1005</v>
      </c>
      <c r="B32" s="2" t="s">
        <v>643</v>
      </c>
      <c r="C32" s="2" t="s">
        <v>52</v>
      </c>
      <c r="D32" s="405">
        <v>150</v>
      </c>
      <c r="E32" s="3">
        <v>3199</v>
      </c>
      <c r="F32" s="3">
        <v>479850</v>
      </c>
      <c r="G32" s="2" t="s">
        <v>877</v>
      </c>
      <c r="H32" s="142">
        <v>45818</v>
      </c>
    </row>
    <row r="33" spans="1:8" outlineLevel="2">
      <c r="A33" s="405">
        <v>1006</v>
      </c>
      <c r="B33" s="2" t="s">
        <v>643</v>
      </c>
      <c r="C33" s="2" t="s">
        <v>878</v>
      </c>
      <c r="D33" s="405">
        <v>60</v>
      </c>
      <c r="E33" s="3">
        <v>7499</v>
      </c>
      <c r="F33" s="3">
        <v>449940</v>
      </c>
      <c r="G33" s="2" t="s">
        <v>257</v>
      </c>
      <c r="H33" s="142">
        <v>45820</v>
      </c>
    </row>
    <row r="34" spans="1:8" outlineLevel="2">
      <c r="A34" s="405">
        <v>1007</v>
      </c>
      <c r="B34" s="2" t="s">
        <v>643</v>
      </c>
      <c r="C34" s="2" t="s">
        <v>879</v>
      </c>
      <c r="D34" s="405">
        <v>85</v>
      </c>
      <c r="E34" s="3">
        <v>5299</v>
      </c>
      <c r="F34" s="3">
        <v>450415</v>
      </c>
      <c r="G34" s="2" t="s">
        <v>260</v>
      </c>
      <c r="H34" s="142">
        <v>45822</v>
      </c>
    </row>
    <row r="35" spans="1:8" outlineLevel="1">
      <c r="A35" s="405"/>
      <c r="B35" s="280" t="s">
        <v>888</v>
      </c>
      <c r="C35" s="2"/>
      <c r="D35" s="405"/>
      <c r="E35" s="3"/>
      <c r="F35" s="3">
        <f>SUBTOTAL(9,F31:F34)</f>
        <v>1614025</v>
      </c>
      <c r="G35" s="2"/>
      <c r="H35" s="142"/>
    </row>
    <row r="36" spans="1:8" outlineLevel="2">
      <c r="A36" s="405">
        <v>1008</v>
      </c>
      <c r="B36" s="2" t="s">
        <v>871</v>
      </c>
      <c r="C36" s="2" t="s">
        <v>880</v>
      </c>
      <c r="D36" s="405">
        <v>210</v>
      </c>
      <c r="E36" s="2">
        <v>999</v>
      </c>
      <c r="F36" s="3">
        <v>209790</v>
      </c>
      <c r="G36" s="2" t="s">
        <v>258</v>
      </c>
      <c r="H36" s="142">
        <v>45824</v>
      </c>
    </row>
    <row r="37" spans="1:8" outlineLevel="2">
      <c r="A37" s="405">
        <v>1009</v>
      </c>
      <c r="B37" s="2" t="s">
        <v>871</v>
      </c>
      <c r="C37" s="2" t="s">
        <v>50</v>
      </c>
      <c r="D37" s="405">
        <v>132</v>
      </c>
      <c r="E37" s="3">
        <v>4299</v>
      </c>
      <c r="F37" s="3">
        <v>567468</v>
      </c>
      <c r="G37" s="2" t="s">
        <v>259</v>
      </c>
      <c r="H37" s="142">
        <v>45826</v>
      </c>
    </row>
    <row r="38" spans="1:8" outlineLevel="2">
      <c r="A38" s="405">
        <v>1010</v>
      </c>
      <c r="B38" s="2" t="s">
        <v>871</v>
      </c>
      <c r="C38" s="2" t="s">
        <v>881</v>
      </c>
      <c r="D38" s="405">
        <v>55</v>
      </c>
      <c r="E38" s="3">
        <v>3999</v>
      </c>
      <c r="F38" s="3">
        <v>219945</v>
      </c>
      <c r="G38" s="2" t="s">
        <v>877</v>
      </c>
      <c r="H38" s="142">
        <v>45828</v>
      </c>
    </row>
    <row r="39" spans="1:8" outlineLevel="2">
      <c r="A39" s="405">
        <v>1011</v>
      </c>
      <c r="B39" s="2" t="s">
        <v>871</v>
      </c>
      <c r="C39" s="2" t="s">
        <v>882</v>
      </c>
      <c r="D39" s="405">
        <v>40</v>
      </c>
      <c r="E39" s="3">
        <v>22499</v>
      </c>
      <c r="F39" s="3">
        <v>899960</v>
      </c>
      <c r="G39" s="2" t="s">
        <v>257</v>
      </c>
      <c r="H39" s="142">
        <v>45830</v>
      </c>
    </row>
    <row r="40" spans="1:8" outlineLevel="1">
      <c r="A40" s="405"/>
      <c r="B40" s="280" t="s">
        <v>889</v>
      </c>
      <c r="C40" s="2"/>
      <c r="D40" s="405"/>
      <c r="E40" s="3"/>
      <c r="F40" s="3">
        <f>SUBTOTAL(9,F36:F39)</f>
        <v>1897163</v>
      </c>
      <c r="G40" s="2"/>
      <c r="H40" s="142"/>
    </row>
    <row r="41" spans="1:8" outlineLevel="2">
      <c r="A41" s="405">
        <v>1012</v>
      </c>
      <c r="B41" s="2" t="s">
        <v>873</v>
      </c>
      <c r="C41" s="2" t="s">
        <v>883</v>
      </c>
      <c r="D41" s="405">
        <v>300</v>
      </c>
      <c r="E41" s="2">
        <v>599</v>
      </c>
      <c r="F41" s="3">
        <v>179700</v>
      </c>
      <c r="G41" s="2" t="s">
        <v>260</v>
      </c>
      <c r="H41" s="142">
        <v>45832</v>
      </c>
    </row>
    <row r="42" spans="1:8" outlineLevel="2">
      <c r="A42" s="405">
        <v>1013</v>
      </c>
      <c r="B42" s="2" t="s">
        <v>873</v>
      </c>
      <c r="C42" s="2" t="s">
        <v>67</v>
      </c>
      <c r="D42" s="405">
        <v>30</v>
      </c>
      <c r="E42" s="3">
        <v>55000</v>
      </c>
      <c r="F42" s="3">
        <v>1650000</v>
      </c>
      <c r="G42" s="2" t="s">
        <v>258</v>
      </c>
      <c r="H42" s="142">
        <v>45833</v>
      </c>
    </row>
    <row r="43" spans="1:8" outlineLevel="2">
      <c r="A43" s="405">
        <v>1014</v>
      </c>
      <c r="B43" s="2" t="s">
        <v>873</v>
      </c>
      <c r="C43" s="2" t="s">
        <v>884</v>
      </c>
      <c r="D43" s="405">
        <v>18</v>
      </c>
      <c r="E43" s="3">
        <v>32999</v>
      </c>
      <c r="F43" s="3">
        <v>593982</v>
      </c>
      <c r="G43" s="2" t="s">
        <v>259</v>
      </c>
      <c r="H43" s="142">
        <v>45835</v>
      </c>
    </row>
    <row r="44" spans="1:8" outlineLevel="2">
      <c r="A44" s="405">
        <v>1015</v>
      </c>
      <c r="B44" s="2" t="s">
        <v>873</v>
      </c>
      <c r="C44" s="2" t="s">
        <v>885</v>
      </c>
      <c r="D44" s="405">
        <v>45</v>
      </c>
      <c r="E44" s="3">
        <v>19499</v>
      </c>
      <c r="F44" s="3">
        <v>877455</v>
      </c>
      <c r="G44" s="2" t="s">
        <v>877</v>
      </c>
      <c r="H44" s="142">
        <v>45837</v>
      </c>
    </row>
    <row r="45" spans="1:8" ht="30" outlineLevel="1">
      <c r="A45" s="405"/>
      <c r="B45" s="280" t="s">
        <v>890</v>
      </c>
      <c r="C45" s="2"/>
      <c r="D45" s="405"/>
      <c r="E45" s="3"/>
      <c r="F45" s="3">
        <f>SUBTOTAL(9,F41:F44)</f>
        <v>3301137</v>
      </c>
      <c r="G45" s="2"/>
      <c r="H45" s="142"/>
    </row>
    <row r="46" spans="1:8">
      <c r="A46" s="405"/>
      <c r="B46" s="280" t="s">
        <v>551</v>
      </c>
      <c r="C46" s="2"/>
      <c r="D46" s="405"/>
      <c r="E46" s="3"/>
      <c r="F46" s="3">
        <f>SUBTOTAL(9,F27:F44)</f>
        <v>7813482</v>
      </c>
      <c r="G46" s="2"/>
      <c r="H46" s="142"/>
    </row>
    <row r="48" spans="1:8">
      <c r="A48" s="407" t="s">
        <v>891</v>
      </c>
      <c r="B48" s="408"/>
      <c r="C48" s="408"/>
      <c r="D48" s="408"/>
      <c r="E48" s="408"/>
    </row>
    <row r="49" spans="1:12">
      <c r="A49" s="335"/>
      <c r="B49" s="23"/>
      <c r="C49" s="23"/>
      <c r="D49" s="23"/>
      <c r="E49" s="23"/>
    </row>
    <row r="50" spans="1:12">
      <c r="A50" s="406" t="s">
        <v>199</v>
      </c>
      <c r="B50" s="1" t="s">
        <v>866</v>
      </c>
      <c r="C50" s="1" t="s">
        <v>867</v>
      </c>
      <c r="D50" s="406" t="s">
        <v>868</v>
      </c>
      <c r="E50" s="1" t="s">
        <v>869</v>
      </c>
      <c r="F50" s="1" t="s">
        <v>254</v>
      </c>
      <c r="G50" s="1" t="s">
        <v>255</v>
      </c>
      <c r="H50" s="1" t="s">
        <v>870</v>
      </c>
    </row>
    <row r="51" spans="1:12" outlineLevel="2">
      <c r="A51" s="405">
        <v>1001</v>
      </c>
      <c r="B51" s="2" t="s">
        <v>643</v>
      </c>
      <c r="C51" s="2" t="s">
        <v>143</v>
      </c>
      <c r="D51" s="405">
        <v>120</v>
      </c>
      <c r="E51" s="3">
        <v>2499</v>
      </c>
      <c r="F51" s="3">
        <v>299880</v>
      </c>
      <c r="G51" s="2" t="s">
        <v>257</v>
      </c>
      <c r="H51" s="142">
        <v>45809</v>
      </c>
    </row>
    <row r="52" spans="1:12" outlineLevel="1">
      <c r="A52" s="405"/>
      <c r="B52" s="280" t="s">
        <v>892</v>
      </c>
      <c r="C52" s="2"/>
      <c r="D52" s="405">
        <f>SUBTOTAL(3,D51:D51)</f>
        <v>1</v>
      </c>
      <c r="E52" s="3"/>
      <c r="F52" s="3"/>
      <c r="G52" s="2"/>
      <c r="H52" s="142"/>
    </row>
    <row r="53" spans="1:12" outlineLevel="2">
      <c r="A53" s="405">
        <v>1002</v>
      </c>
      <c r="B53" s="2" t="s">
        <v>871</v>
      </c>
      <c r="C53" s="2" t="s">
        <v>872</v>
      </c>
      <c r="D53" s="405">
        <v>75</v>
      </c>
      <c r="E53" s="3">
        <v>4999</v>
      </c>
      <c r="F53" s="3">
        <v>374925</v>
      </c>
      <c r="G53" s="2" t="s">
        <v>260</v>
      </c>
      <c r="H53" s="142">
        <v>45813</v>
      </c>
    </row>
    <row r="54" spans="1:12" outlineLevel="1">
      <c r="A54" s="405"/>
      <c r="B54" s="280" t="s">
        <v>893</v>
      </c>
      <c r="C54" s="2"/>
      <c r="D54" s="405">
        <f>SUBTOTAL(3,D53:D53)</f>
        <v>1</v>
      </c>
      <c r="E54" s="3"/>
      <c r="F54" s="3"/>
      <c r="G54" s="2"/>
      <c r="H54" s="142"/>
    </row>
    <row r="55" spans="1:12" outlineLevel="2">
      <c r="A55" s="405">
        <v>1003</v>
      </c>
      <c r="B55" s="2" t="s">
        <v>873</v>
      </c>
      <c r="C55" s="2" t="s">
        <v>874</v>
      </c>
      <c r="D55" s="405">
        <v>48</v>
      </c>
      <c r="E55" s="3">
        <v>6799</v>
      </c>
      <c r="F55" s="3">
        <v>326352</v>
      </c>
      <c r="G55" s="2" t="s">
        <v>258</v>
      </c>
      <c r="H55" s="142">
        <v>45815</v>
      </c>
    </row>
    <row r="56" spans="1:12" ht="30" outlineLevel="1">
      <c r="A56" s="405"/>
      <c r="B56" s="280" t="s">
        <v>894</v>
      </c>
      <c r="C56" s="2"/>
      <c r="D56" s="405">
        <f>SUBTOTAL(3,D55:D55)</f>
        <v>1</v>
      </c>
      <c r="E56" s="3"/>
      <c r="F56" s="3"/>
      <c r="G56" s="2"/>
      <c r="H56" s="142"/>
    </row>
    <row r="57" spans="1:12" ht="28.5" outlineLevel="2">
      <c r="A57" s="405">
        <v>1004</v>
      </c>
      <c r="B57" s="2" t="s">
        <v>875</v>
      </c>
      <c r="C57" s="2" t="s">
        <v>876</v>
      </c>
      <c r="D57" s="405">
        <v>180</v>
      </c>
      <c r="E57" s="3">
        <v>1299</v>
      </c>
      <c r="F57" s="3">
        <v>233820</v>
      </c>
      <c r="G57" s="2" t="s">
        <v>259</v>
      </c>
      <c r="H57" s="142">
        <v>45816</v>
      </c>
      <c r="L57" s="410" t="s">
        <v>14</v>
      </c>
    </row>
    <row r="58" spans="1:12" outlineLevel="1">
      <c r="A58" s="405"/>
      <c r="B58" s="280" t="s">
        <v>895</v>
      </c>
      <c r="C58" s="2"/>
      <c r="D58" s="405">
        <f>SUBTOTAL(3,D57:D57)</f>
        <v>1</v>
      </c>
      <c r="E58" s="3"/>
      <c r="F58" s="3"/>
      <c r="G58" s="2"/>
      <c r="H58" s="142"/>
    </row>
    <row r="59" spans="1:12" outlineLevel="2">
      <c r="A59" s="405">
        <v>1005</v>
      </c>
      <c r="B59" s="2" t="s">
        <v>643</v>
      </c>
      <c r="C59" s="2" t="s">
        <v>52</v>
      </c>
      <c r="D59" s="405">
        <v>150</v>
      </c>
      <c r="E59" s="3">
        <v>3199</v>
      </c>
      <c r="F59" s="3">
        <v>479850</v>
      </c>
      <c r="G59" s="2" t="s">
        <v>877</v>
      </c>
      <c r="H59" s="142">
        <v>45818</v>
      </c>
    </row>
    <row r="60" spans="1:12" outlineLevel="1">
      <c r="A60" s="405"/>
      <c r="B60" s="280" t="s">
        <v>892</v>
      </c>
      <c r="C60" s="2"/>
      <c r="D60" s="405">
        <f>SUBTOTAL(3,D59:D59)</f>
        <v>1</v>
      </c>
      <c r="E60" s="3"/>
      <c r="F60" s="3"/>
      <c r="G60" s="2"/>
      <c r="H60" s="142"/>
    </row>
    <row r="61" spans="1:12" outlineLevel="2">
      <c r="A61" s="405">
        <v>1006</v>
      </c>
      <c r="B61" s="2" t="s">
        <v>871</v>
      </c>
      <c r="C61" s="2" t="s">
        <v>878</v>
      </c>
      <c r="D61" s="405">
        <v>60</v>
      </c>
      <c r="E61" s="3">
        <v>7499</v>
      </c>
      <c r="F61" s="3">
        <v>449940</v>
      </c>
      <c r="G61" s="2" t="s">
        <v>257</v>
      </c>
      <c r="H61" s="142">
        <v>45820</v>
      </c>
    </row>
    <row r="62" spans="1:12" outlineLevel="1">
      <c r="A62" s="405"/>
      <c r="B62" s="280" t="s">
        <v>893</v>
      </c>
      <c r="C62" s="2"/>
      <c r="D62" s="405">
        <f>SUBTOTAL(3,D61:D61)</f>
        <v>1</v>
      </c>
      <c r="E62" s="3"/>
      <c r="F62" s="3"/>
      <c r="G62" s="2"/>
      <c r="H62" s="142"/>
    </row>
    <row r="63" spans="1:12" outlineLevel="2">
      <c r="A63" s="405">
        <v>1007</v>
      </c>
      <c r="B63" s="2" t="s">
        <v>873</v>
      </c>
      <c r="C63" s="2" t="s">
        <v>879</v>
      </c>
      <c r="D63" s="405">
        <v>85</v>
      </c>
      <c r="E63" s="3">
        <v>5299</v>
      </c>
      <c r="F63" s="3">
        <v>450415</v>
      </c>
      <c r="G63" s="2" t="s">
        <v>260</v>
      </c>
      <c r="H63" s="142">
        <v>45822</v>
      </c>
    </row>
    <row r="64" spans="1:12" ht="30" outlineLevel="1">
      <c r="A64" s="405"/>
      <c r="B64" s="280" t="s">
        <v>894</v>
      </c>
      <c r="C64" s="2"/>
      <c r="D64" s="405">
        <f>SUBTOTAL(3,D63:D63)</f>
        <v>1</v>
      </c>
      <c r="E64" s="3"/>
      <c r="F64" s="3"/>
      <c r="G64" s="2"/>
      <c r="H64" s="142"/>
    </row>
    <row r="65" spans="1:12" outlineLevel="2">
      <c r="A65" s="405">
        <v>1008</v>
      </c>
      <c r="B65" s="2" t="s">
        <v>875</v>
      </c>
      <c r="C65" s="2" t="s">
        <v>880</v>
      </c>
      <c r="D65" s="405">
        <v>210</v>
      </c>
      <c r="E65" s="2">
        <v>999</v>
      </c>
      <c r="F65" s="3">
        <v>209790</v>
      </c>
      <c r="G65" s="2" t="s">
        <v>258</v>
      </c>
      <c r="H65" s="142">
        <v>45824</v>
      </c>
    </row>
    <row r="66" spans="1:12" outlineLevel="1">
      <c r="A66" s="405"/>
      <c r="B66" s="280" t="s">
        <v>895</v>
      </c>
      <c r="C66" s="2"/>
      <c r="D66" s="405">
        <f>SUBTOTAL(3,D65:D65)</f>
        <v>1</v>
      </c>
      <c r="E66" s="2"/>
      <c r="F66" s="3"/>
      <c r="G66" s="2"/>
      <c r="H66" s="142"/>
    </row>
    <row r="67" spans="1:12" outlineLevel="2">
      <c r="A67" s="405">
        <v>1009</v>
      </c>
      <c r="B67" s="2" t="s">
        <v>643</v>
      </c>
      <c r="C67" s="2" t="s">
        <v>50</v>
      </c>
      <c r="D67" s="405">
        <v>132</v>
      </c>
      <c r="E67" s="3">
        <v>4299</v>
      </c>
      <c r="F67" s="3">
        <v>567468</v>
      </c>
      <c r="G67" s="2" t="s">
        <v>259</v>
      </c>
      <c r="H67" s="142">
        <v>45826</v>
      </c>
    </row>
    <row r="68" spans="1:12" outlineLevel="1">
      <c r="A68" s="405"/>
      <c r="B68" s="280" t="s">
        <v>892</v>
      </c>
      <c r="C68" s="2"/>
      <c r="D68" s="405">
        <f>SUBTOTAL(3,D67:D67)</f>
        <v>1</v>
      </c>
      <c r="E68" s="3"/>
      <c r="F68" s="3"/>
      <c r="G68" s="2"/>
      <c r="H68" s="142"/>
    </row>
    <row r="69" spans="1:12" ht="26.25" outlineLevel="2">
      <c r="A69" s="405">
        <v>1010</v>
      </c>
      <c r="B69" s="2" t="s">
        <v>871</v>
      </c>
      <c r="C69" s="2" t="s">
        <v>881</v>
      </c>
      <c r="D69" s="405">
        <v>55</v>
      </c>
      <c r="E69" s="3">
        <v>3999</v>
      </c>
      <c r="F69" s="3">
        <v>219945</v>
      </c>
      <c r="G69" s="2" t="s">
        <v>877</v>
      </c>
      <c r="H69" s="142">
        <v>45828</v>
      </c>
      <c r="L69" s="409" t="s">
        <v>903</v>
      </c>
    </row>
    <row r="70" spans="1:12" outlineLevel="1">
      <c r="A70" s="405"/>
      <c r="B70" s="280" t="s">
        <v>893</v>
      </c>
      <c r="C70" s="2"/>
      <c r="D70" s="405">
        <f>SUBTOTAL(3,D69:D69)</f>
        <v>1</v>
      </c>
      <c r="E70" s="3"/>
      <c r="F70" s="3"/>
      <c r="G70" s="2"/>
      <c r="H70" s="142"/>
    </row>
    <row r="71" spans="1:12" outlineLevel="2">
      <c r="A71" s="405">
        <v>1011</v>
      </c>
      <c r="B71" s="2" t="s">
        <v>873</v>
      </c>
      <c r="C71" s="2" t="s">
        <v>882</v>
      </c>
      <c r="D71" s="405">
        <v>40</v>
      </c>
      <c r="E71" s="3">
        <v>22499</v>
      </c>
      <c r="F71" s="3">
        <v>899960</v>
      </c>
      <c r="G71" s="2" t="s">
        <v>257</v>
      </c>
      <c r="H71" s="142">
        <v>45830</v>
      </c>
    </row>
    <row r="72" spans="1:12" ht="30" outlineLevel="1">
      <c r="A72" s="405"/>
      <c r="B72" s="280" t="s">
        <v>894</v>
      </c>
      <c r="C72" s="2"/>
      <c r="D72" s="405">
        <f>SUBTOTAL(3,D71:D71)</f>
        <v>1</v>
      </c>
      <c r="E72" s="3"/>
      <c r="F72" s="3"/>
      <c r="G72" s="2"/>
      <c r="H72" s="142"/>
    </row>
    <row r="73" spans="1:12" outlineLevel="2">
      <c r="A73" s="405">
        <v>1012</v>
      </c>
      <c r="B73" s="2" t="s">
        <v>875</v>
      </c>
      <c r="C73" s="2" t="s">
        <v>883</v>
      </c>
      <c r="D73" s="405">
        <v>300</v>
      </c>
      <c r="E73" s="2">
        <v>599</v>
      </c>
      <c r="F73" s="3">
        <v>179700</v>
      </c>
      <c r="G73" s="2" t="s">
        <v>260</v>
      </c>
      <c r="H73" s="142">
        <v>45832</v>
      </c>
    </row>
    <row r="74" spans="1:12" outlineLevel="1">
      <c r="A74" s="405"/>
      <c r="B74" s="280" t="s">
        <v>895</v>
      </c>
      <c r="C74" s="2"/>
      <c r="D74" s="405">
        <f>SUBTOTAL(3,D73:D73)</f>
        <v>1</v>
      </c>
      <c r="E74" s="2"/>
      <c r="F74" s="3"/>
      <c r="G74" s="2"/>
      <c r="H74" s="142"/>
    </row>
    <row r="75" spans="1:12" outlineLevel="2">
      <c r="A75" s="405">
        <v>1013</v>
      </c>
      <c r="B75" s="2" t="s">
        <v>643</v>
      </c>
      <c r="C75" s="2" t="s">
        <v>67</v>
      </c>
      <c r="D75" s="405">
        <v>30</v>
      </c>
      <c r="E75" s="3">
        <v>55000</v>
      </c>
      <c r="F75" s="3">
        <v>1650000</v>
      </c>
      <c r="G75" s="2" t="s">
        <v>258</v>
      </c>
      <c r="H75" s="142">
        <v>45833</v>
      </c>
    </row>
    <row r="76" spans="1:12" outlineLevel="1">
      <c r="A76" s="405"/>
      <c r="B76" s="280" t="s">
        <v>892</v>
      </c>
      <c r="C76" s="2"/>
      <c r="D76" s="405">
        <f>SUBTOTAL(3,D75:D75)</f>
        <v>1</v>
      </c>
      <c r="E76" s="3"/>
      <c r="F76" s="3"/>
      <c r="G76" s="2"/>
      <c r="H76" s="142"/>
    </row>
    <row r="77" spans="1:12" outlineLevel="2">
      <c r="A77" s="405">
        <v>1014</v>
      </c>
      <c r="B77" s="2" t="s">
        <v>871</v>
      </c>
      <c r="C77" s="2" t="s">
        <v>884</v>
      </c>
      <c r="D77" s="405">
        <v>18</v>
      </c>
      <c r="E77" s="3">
        <v>32999</v>
      </c>
      <c r="F77" s="3">
        <v>593982</v>
      </c>
      <c r="G77" s="2" t="s">
        <v>259</v>
      </c>
      <c r="H77" s="142">
        <v>45835</v>
      </c>
    </row>
    <row r="78" spans="1:12" outlineLevel="1">
      <c r="A78" s="405"/>
      <c r="B78" s="280" t="s">
        <v>893</v>
      </c>
      <c r="C78" s="2"/>
      <c r="D78" s="405">
        <f>SUBTOTAL(3,D77:D77)</f>
        <v>1</v>
      </c>
      <c r="E78" s="3"/>
      <c r="F78" s="3"/>
      <c r="G78" s="2"/>
      <c r="H78" s="142"/>
    </row>
    <row r="79" spans="1:12" outlineLevel="2">
      <c r="A79" s="405">
        <v>1015</v>
      </c>
      <c r="B79" s="2" t="s">
        <v>873</v>
      </c>
      <c r="C79" s="2" t="s">
        <v>885</v>
      </c>
      <c r="D79" s="405">
        <v>45</v>
      </c>
      <c r="E79" s="3">
        <v>19499</v>
      </c>
      <c r="F79" s="3">
        <v>877455</v>
      </c>
      <c r="G79" s="2" t="s">
        <v>877</v>
      </c>
      <c r="H79" s="142">
        <v>45837</v>
      </c>
    </row>
    <row r="80" spans="1:12" ht="30" outlineLevel="1">
      <c r="A80" s="405"/>
      <c r="B80" s="280" t="s">
        <v>894</v>
      </c>
      <c r="C80" s="2"/>
      <c r="D80" s="405">
        <f>SUBTOTAL(3,D79:D79)</f>
        <v>1</v>
      </c>
      <c r="E80" s="3"/>
      <c r="F80" s="3"/>
      <c r="G80" s="2"/>
      <c r="H80" s="142"/>
    </row>
    <row r="81" spans="1:11">
      <c r="A81" s="405"/>
      <c r="B81" s="280" t="s">
        <v>896</v>
      </c>
      <c r="C81" s="2"/>
      <c r="D81" s="405">
        <f>SUBTOTAL(3,D51:D79)</f>
        <v>15</v>
      </c>
      <c r="E81" s="3"/>
      <c r="F81" s="3"/>
      <c r="G81" s="2"/>
      <c r="H81" s="142"/>
    </row>
    <row r="84" spans="1:11">
      <c r="A84" s="406" t="s">
        <v>199</v>
      </c>
      <c r="B84" s="1" t="s">
        <v>866</v>
      </c>
      <c r="C84" s="1" t="s">
        <v>867</v>
      </c>
      <c r="D84" s="406" t="s">
        <v>868</v>
      </c>
      <c r="E84" s="1" t="s">
        <v>869</v>
      </c>
      <c r="F84" s="1" t="s">
        <v>254</v>
      </c>
      <c r="G84" s="1" t="s">
        <v>255</v>
      </c>
      <c r="H84" s="1" t="s">
        <v>870</v>
      </c>
    </row>
    <row r="85" spans="1:11" outlineLevel="2">
      <c r="A85" s="405">
        <v>1001</v>
      </c>
      <c r="B85" s="2" t="s">
        <v>643</v>
      </c>
      <c r="C85" s="2" t="s">
        <v>143</v>
      </c>
      <c r="D85" s="405">
        <v>120</v>
      </c>
      <c r="E85" s="3">
        <v>2499</v>
      </c>
      <c r="F85" s="3">
        <v>299880</v>
      </c>
      <c r="G85" s="2" t="s">
        <v>257</v>
      </c>
      <c r="H85" s="142">
        <v>45809</v>
      </c>
    </row>
    <row r="86" spans="1:11" ht="30" outlineLevel="1">
      <c r="A86" s="405"/>
      <c r="B86" s="280" t="s">
        <v>897</v>
      </c>
      <c r="C86" s="2"/>
      <c r="D86" s="405"/>
      <c r="E86" s="3"/>
      <c r="F86" s="3">
        <f>SUBTOTAL(1,F85:F85)</f>
        <v>299880</v>
      </c>
      <c r="G86" s="2"/>
      <c r="H86" s="142"/>
    </row>
    <row r="87" spans="1:11" outlineLevel="2">
      <c r="A87" s="405">
        <v>1002</v>
      </c>
      <c r="B87" s="2" t="s">
        <v>871</v>
      </c>
      <c r="C87" s="2" t="s">
        <v>872</v>
      </c>
      <c r="D87" s="405">
        <v>75</v>
      </c>
      <c r="E87" s="3">
        <v>4999</v>
      </c>
      <c r="F87" s="3">
        <v>374925</v>
      </c>
      <c r="G87" s="2" t="s">
        <v>260</v>
      </c>
      <c r="H87" s="142">
        <v>45813</v>
      </c>
    </row>
    <row r="88" spans="1:11" outlineLevel="1">
      <c r="A88" s="405"/>
      <c r="B88" s="280" t="s">
        <v>898</v>
      </c>
      <c r="C88" s="2"/>
      <c r="D88" s="405"/>
      <c r="E88" s="3"/>
      <c r="F88" s="3">
        <f>SUBTOTAL(1,F87:F87)</f>
        <v>374925</v>
      </c>
      <c r="G88" s="2"/>
      <c r="H88" s="142"/>
    </row>
    <row r="89" spans="1:11" outlineLevel="2">
      <c r="A89" s="405">
        <v>1003</v>
      </c>
      <c r="B89" s="2" t="s">
        <v>873</v>
      </c>
      <c r="C89" s="2" t="s">
        <v>874</v>
      </c>
      <c r="D89" s="405">
        <v>48</v>
      </c>
      <c r="E89" s="3">
        <v>6799</v>
      </c>
      <c r="F89" s="3">
        <v>326352</v>
      </c>
      <c r="G89" s="2" t="s">
        <v>258</v>
      </c>
      <c r="H89" s="142">
        <v>45815</v>
      </c>
    </row>
    <row r="90" spans="1:11" ht="30" outlineLevel="1">
      <c r="A90" s="405"/>
      <c r="B90" s="280" t="s">
        <v>899</v>
      </c>
      <c r="C90" s="2"/>
      <c r="D90" s="405"/>
      <c r="E90" s="3"/>
      <c r="F90" s="3">
        <f>SUBTOTAL(1,F89:F89)</f>
        <v>326352</v>
      </c>
      <c r="G90" s="2"/>
      <c r="H90" s="142"/>
    </row>
    <row r="91" spans="1:11" ht="26.25" outlineLevel="2">
      <c r="A91" s="405">
        <v>1004</v>
      </c>
      <c r="B91" s="2" t="s">
        <v>875</v>
      </c>
      <c r="C91" s="2" t="s">
        <v>876</v>
      </c>
      <c r="D91" s="405">
        <v>180</v>
      </c>
      <c r="E91" s="3">
        <v>1299</v>
      </c>
      <c r="F91" s="3">
        <v>233820</v>
      </c>
      <c r="G91" s="2" t="s">
        <v>259</v>
      </c>
      <c r="H91" s="142">
        <v>45816</v>
      </c>
      <c r="K91" s="409" t="s">
        <v>902</v>
      </c>
    </row>
    <row r="92" spans="1:11" outlineLevel="1">
      <c r="A92" s="405"/>
      <c r="B92" s="280" t="s">
        <v>900</v>
      </c>
      <c r="C92" s="2"/>
      <c r="D92" s="405"/>
      <c r="E92" s="3"/>
      <c r="F92" s="3">
        <f>SUBTOTAL(1,F91:F91)</f>
        <v>233820</v>
      </c>
      <c r="G92" s="2"/>
      <c r="H92" s="142"/>
    </row>
    <row r="93" spans="1:11" outlineLevel="2">
      <c r="A93" s="405">
        <v>1005</v>
      </c>
      <c r="B93" s="2" t="s">
        <v>643</v>
      </c>
      <c r="C93" s="2" t="s">
        <v>52</v>
      </c>
      <c r="D93" s="405">
        <v>150</v>
      </c>
      <c r="E93" s="3">
        <v>3199</v>
      </c>
      <c r="F93" s="3">
        <v>479850</v>
      </c>
      <c r="G93" s="2" t="s">
        <v>877</v>
      </c>
      <c r="H93" s="142">
        <v>45818</v>
      </c>
    </row>
    <row r="94" spans="1:11" ht="30" outlineLevel="1">
      <c r="A94" s="405"/>
      <c r="B94" s="280" t="s">
        <v>897</v>
      </c>
      <c r="C94" s="2"/>
      <c r="D94" s="405"/>
      <c r="E94" s="3"/>
      <c r="F94" s="3">
        <f>SUBTOTAL(1,F93:F93)</f>
        <v>479850</v>
      </c>
      <c r="G94" s="2"/>
      <c r="H94" s="142"/>
    </row>
    <row r="95" spans="1:11" outlineLevel="2">
      <c r="A95" s="405">
        <v>1006</v>
      </c>
      <c r="B95" s="2" t="s">
        <v>871</v>
      </c>
      <c r="C95" s="2" t="s">
        <v>878</v>
      </c>
      <c r="D95" s="405">
        <v>60</v>
      </c>
      <c r="E95" s="3">
        <v>7499</v>
      </c>
      <c r="F95" s="3">
        <v>449940</v>
      </c>
      <c r="G95" s="2" t="s">
        <v>257</v>
      </c>
      <c r="H95" s="142">
        <v>45820</v>
      </c>
    </row>
    <row r="96" spans="1:11" outlineLevel="1">
      <c r="A96" s="405"/>
      <c r="B96" s="280" t="s">
        <v>898</v>
      </c>
      <c r="C96" s="2"/>
      <c r="D96" s="405"/>
      <c r="E96" s="3"/>
      <c r="F96" s="3">
        <f>SUBTOTAL(1,F95:F95)</f>
        <v>449940</v>
      </c>
      <c r="G96" s="2"/>
      <c r="H96" s="142"/>
    </row>
    <row r="97" spans="1:8" outlineLevel="2">
      <c r="A97" s="405">
        <v>1007</v>
      </c>
      <c r="B97" s="2" t="s">
        <v>873</v>
      </c>
      <c r="C97" s="2" t="s">
        <v>879</v>
      </c>
      <c r="D97" s="405">
        <v>85</v>
      </c>
      <c r="E97" s="3">
        <v>5299</v>
      </c>
      <c r="F97" s="3">
        <v>450415</v>
      </c>
      <c r="G97" s="2" t="s">
        <v>260</v>
      </c>
      <c r="H97" s="142">
        <v>45822</v>
      </c>
    </row>
    <row r="98" spans="1:8" ht="30" outlineLevel="1">
      <c r="A98" s="405"/>
      <c r="B98" s="280" t="s">
        <v>899</v>
      </c>
      <c r="C98" s="2"/>
      <c r="D98" s="405"/>
      <c r="E98" s="3"/>
      <c r="F98" s="3">
        <f>SUBTOTAL(1,F97:F97)</f>
        <v>450415</v>
      </c>
      <c r="G98" s="2"/>
      <c r="H98" s="142"/>
    </row>
    <row r="99" spans="1:8" outlineLevel="2">
      <c r="A99" s="405">
        <v>1008</v>
      </c>
      <c r="B99" s="2" t="s">
        <v>875</v>
      </c>
      <c r="C99" s="2" t="s">
        <v>880</v>
      </c>
      <c r="D99" s="405">
        <v>210</v>
      </c>
      <c r="E99" s="2">
        <v>999</v>
      </c>
      <c r="F99" s="3">
        <v>209790</v>
      </c>
      <c r="G99" s="2" t="s">
        <v>258</v>
      </c>
      <c r="H99" s="142">
        <v>45824</v>
      </c>
    </row>
    <row r="100" spans="1:8" outlineLevel="1">
      <c r="A100" s="405"/>
      <c r="B100" s="280" t="s">
        <v>900</v>
      </c>
      <c r="C100" s="2"/>
      <c r="D100" s="405"/>
      <c r="E100" s="2"/>
      <c r="F100" s="3">
        <f>SUBTOTAL(1,F99:F99)</f>
        <v>209790</v>
      </c>
      <c r="G100" s="2"/>
      <c r="H100" s="142"/>
    </row>
    <row r="101" spans="1:8" outlineLevel="2">
      <c r="A101" s="405">
        <v>1009</v>
      </c>
      <c r="B101" s="2" t="s">
        <v>643</v>
      </c>
      <c r="C101" s="2" t="s">
        <v>50</v>
      </c>
      <c r="D101" s="405">
        <v>132</v>
      </c>
      <c r="E101" s="3">
        <v>4299</v>
      </c>
      <c r="F101" s="3">
        <v>567468</v>
      </c>
      <c r="G101" s="2" t="s">
        <v>259</v>
      </c>
      <c r="H101" s="142">
        <v>45826</v>
      </c>
    </row>
    <row r="102" spans="1:8" ht="30" outlineLevel="1">
      <c r="A102" s="405"/>
      <c r="B102" s="280" t="s">
        <v>897</v>
      </c>
      <c r="C102" s="2"/>
      <c r="D102" s="405"/>
      <c r="E102" s="3"/>
      <c r="F102" s="3">
        <f>SUBTOTAL(1,F101:F101)</f>
        <v>567468</v>
      </c>
      <c r="G102" s="2"/>
      <c r="H102" s="142"/>
    </row>
    <row r="103" spans="1:8" outlineLevel="2">
      <c r="A103" s="405">
        <v>1010</v>
      </c>
      <c r="B103" s="2" t="s">
        <v>871</v>
      </c>
      <c r="C103" s="2" t="s">
        <v>881</v>
      </c>
      <c r="D103" s="405">
        <v>55</v>
      </c>
      <c r="E103" s="3">
        <v>3999</v>
      </c>
      <c r="F103" s="3">
        <v>219945</v>
      </c>
      <c r="G103" s="2" t="s">
        <v>877</v>
      </c>
      <c r="H103" s="142">
        <v>45828</v>
      </c>
    </row>
    <row r="104" spans="1:8" outlineLevel="1">
      <c r="A104" s="405"/>
      <c r="B104" s="280" t="s">
        <v>898</v>
      </c>
      <c r="C104" s="2"/>
      <c r="D104" s="405"/>
      <c r="E104" s="3"/>
      <c r="F104" s="3">
        <f>SUBTOTAL(1,F103:F103)</f>
        <v>219945</v>
      </c>
      <c r="G104" s="2"/>
      <c r="H104" s="142"/>
    </row>
    <row r="105" spans="1:8" outlineLevel="2">
      <c r="A105" s="405">
        <v>1011</v>
      </c>
      <c r="B105" s="2" t="s">
        <v>873</v>
      </c>
      <c r="C105" s="2" t="s">
        <v>882</v>
      </c>
      <c r="D105" s="405">
        <v>40</v>
      </c>
      <c r="E105" s="3">
        <v>22499</v>
      </c>
      <c r="F105" s="3">
        <v>899960</v>
      </c>
      <c r="G105" s="2" t="s">
        <v>257</v>
      </c>
      <c r="H105" s="142">
        <v>45830</v>
      </c>
    </row>
    <row r="106" spans="1:8" ht="30" outlineLevel="1">
      <c r="A106" s="405"/>
      <c r="B106" s="280" t="s">
        <v>899</v>
      </c>
      <c r="C106" s="2"/>
      <c r="D106" s="405"/>
      <c r="E106" s="3"/>
      <c r="F106" s="3">
        <f>SUBTOTAL(1,F105:F105)</f>
        <v>899960</v>
      </c>
      <c r="G106" s="2"/>
      <c r="H106" s="142"/>
    </row>
    <row r="107" spans="1:8" outlineLevel="2">
      <c r="A107" s="405">
        <v>1012</v>
      </c>
      <c r="B107" s="2" t="s">
        <v>875</v>
      </c>
      <c r="C107" s="2" t="s">
        <v>883</v>
      </c>
      <c r="D107" s="405">
        <v>300</v>
      </c>
      <c r="E107" s="2">
        <v>599</v>
      </c>
      <c r="F107" s="3">
        <v>179700</v>
      </c>
      <c r="G107" s="2" t="s">
        <v>260</v>
      </c>
      <c r="H107" s="142">
        <v>45832</v>
      </c>
    </row>
    <row r="108" spans="1:8" outlineLevel="1">
      <c r="A108" s="405"/>
      <c r="B108" s="280" t="s">
        <v>900</v>
      </c>
      <c r="C108" s="2"/>
      <c r="D108" s="405"/>
      <c r="E108" s="2"/>
      <c r="F108" s="3">
        <f>SUBTOTAL(1,F107:F107)</f>
        <v>179700</v>
      </c>
      <c r="G108" s="2"/>
      <c r="H108" s="142"/>
    </row>
    <row r="109" spans="1:8" outlineLevel="2">
      <c r="A109" s="405">
        <v>1013</v>
      </c>
      <c r="B109" s="2" t="s">
        <v>643</v>
      </c>
      <c r="C109" s="2" t="s">
        <v>67</v>
      </c>
      <c r="D109" s="405">
        <v>30</v>
      </c>
      <c r="E109" s="3">
        <v>55000</v>
      </c>
      <c r="F109" s="3">
        <v>1650000</v>
      </c>
      <c r="G109" s="2" t="s">
        <v>258</v>
      </c>
      <c r="H109" s="142">
        <v>45833</v>
      </c>
    </row>
    <row r="110" spans="1:8" ht="30" outlineLevel="1">
      <c r="A110" s="405"/>
      <c r="B110" s="280" t="s">
        <v>897</v>
      </c>
      <c r="C110" s="2"/>
      <c r="D110" s="405"/>
      <c r="E110" s="3"/>
      <c r="F110" s="3">
        <f>SUBTOTAL(1,F109:F109)</f>
        <v>1650000</v>
      </c>
      <c r="G110" s="2"/>
      <c r="H110" s="142"/>
    </row>
    <row r="111" spans="1:8" outlineLevel="2">
      <c r="A111" s="405">
        <v>1014</v>
      </c>
      <c r="B111" s="2" t="s">
        <v>871</v>
      </c>
      <c r="C111" s="2" t="s">
        <v>884</v>
      </c>
      <c r="D111" s="405">
        <v>18</v>
      </c>
      <c r="E111" s="3">
        <v>32999</v>
      </c>
      <c r="F111" s="3">
        <v>593982</v>
      </c>
      <c r="G111" s="2" t="s">
        <v>259</v>
      </c>
      <c r="H111" s="142">
        <v>45835</v>
      </c>
    </row>
    <row r="112" spans="1:8" outlineLevel="1">
      <c r="A112" s="405"/>
      <c r="B112" s="280" t="s">
        <v>898</v>
      </c>
      <c r="C112" s="2"/>
      <c r="D112" s="405"/>
      <c r="E112" s="3"/>
      <c r="F112" s="3">
        <f>SUBTOTAL(1,F111:F111)</f>
        <v>593982</v>
      </c>
      <c r="G112" s="2"/>
      <c r="H112" s="142"/>
    </row>
    <row r="113" spans="1:8" outlineLevel="2">
      <c r="A113" s="405">
        <v>1015</v>
      </c>
      <c r="B113" s="2" t="s">
        <v>873</v>
      </c>
      <c r="C113" s="2" t="s">
        <v>885</v>
      </c>
      <c r="D113" s="405">
        <v>45</v>
      </c>
      <c r="E113" s="3">
        <v>19499</v>
      </c>
      <c r="F113" s="3">
        <v>877455</v>
      </c>
      <c r="G113" s="2" t="s">
        <v>877</v>
      </c>
      <c r="H113" s="142">
        <v>45837</v>
      </c>
    </row>
    <row r="114" spans="1:8" ht="30" outlineLevel="1">
      <c r="A114" s="405"/>
      <c r="B114" s="280" t="s">
        <v>899</v>
      </c>
      <c r="C114" s="2"/>
      <c r="D114" s="405"/>
      <c r="E114" s="3"/>
      <c r="F114" s="3">
        <f>SUBTOTAL(1,F113:F113)</f>
        <v>877455</v>
      </c>
      <c r="G114" s="2"/>
      <c r="H114" s="142"/>
    </row>
    <row r="115" spans="1:8">
      <c r="A115" s="405"/>
      <c r="B115" s="280" t="s">
        <v>901</v>
      </c>
      <c r="C115" s="2"/>
      <c r="D115" s="405"/>
      <c r="E115" s="3"/>
      <c r="F115" s="3">
        <f>SUBTOTAL(1,F85:F113)</f>
        <v>520898.8</v>
      </c>
      <c r="G115" s="2"/>
      <c r="H115" s="142"/>
    </row>
    <row r="118" spans="1:8">
      <c r="A118" s="319" t="s">
        <v>904</v>
      </c>
      <c r="B118" s="36"/>
      <c r="C118" s="36"/>
      <c r="D118" s="36"/>
      <c r="E118" s="36"/>
    </row>
    <row r="121" spans="1:8">
      <c r="A121" s="406" t="s">
        <v>199</v>
      </c>
      <c r="B121" s="1" t="s">
        <v>866</v>
      </c>
      <c r="C121" s="1" t="s">
        <v>867</v>
      </c>
      <c r="D121" s="406" t="s">
        <v>868</v>
      </c>
      <c r="E121" s="1" t="s">
        <v>869</v>
      </c>
      <c r="F121" s="1" t="s">
        <v>254</v>
      </c>
      <c r="G121" s="1" t="s">
        <v>255</v>
      </c>
      <c r="H121" s="1" t="s">
        <v>870</v>
      </c>
    </row>
    <row r="122" spans="1:8">
      <c r="A122" s="405">
        <v>1001</v>
      </c>
      <c r="B122" s="2" t="s">
        <v>643</v>
      </c>
      <c r="C122" s="2" t="s">
        <v>143</v>
      </c>
      <c r="D122" s="405">
        <v>120</v>
      </c>
      <c r="E122" s="3">
        <v>2499</v>
      </c>
      <c r="F122" s="3">
        <v>299880</v>
      </c>
      <c r="G122" s="2" t="s">
        <v>257</v>
      </c>
      <c r="H122" s="142">
        <v>45809</v>
      </c>
    </row>
    <row r="123" spans="1:8">
      <c r="A123" s="405">
        <v>1002</v>
      </c>
      <c r="B123" s="2" t="s">
        <v>871</v>
      </c>
      <c r="C123" s="2" t="s">
        <v>872</v>
      </c>
      <c r="D123" s="405">
        <v>75</v>
      </c>
      <c r="E123" s="3">
        <v>4999</v>
      </c>
      <c r="F123" s="3">
        <v>374925</v>
      </c>
      <c r="G123" s="2" t="s">
        <v>260</v>
      </c>
      <c r="H123" s="142">
        <v>45813</v>
      </c>
    </row>
    <row r="124" spans="1:8">
      <c r="A124" s="405">
        <v>1003</v>
      </c>
      <c r="B124" s="2" t="s">
        <v>873</v>
      </c>
      <c r="C124" s="2" t="s">
        <v>874</v>
      </c>
      <c r="D124" s="405">
        <v>48</v>
      </c>
      <c r="E124" s="3">
        <v>6799</v>
      </c>
      <c r="F124" s="3">
        <v>326352</v>
      </c>
      <c r="G124" s="2" t="s">
        <v>258</v>
      </c>
      <c r="H124" s="142">
        <v>45815</v>
      </c>
    </row>
    <row r="125" spans="1:8">
      <c r="A125" s="405">
        <v>1004</v>
      </c>
      <c r="B125" s="2" t="s">
        <v>875</v>
      </c>
      <c r="C125" s="2" t="s">
        <v>876</v>
      </c>
      <c r="D125" s="405">
        <v>180</v>
      </c>
      <c r="E125" s="3">
        <v>1299</v>
      </c>
      <c r="F125" s="3">
        <v>233820</v>
      </c>
      <c r="G125" s="2" t="s">
        <v>259</v>
      </c>
      <c r="H125" s="142">
        <v>45816</v>
      </c>
    </row>
    <row r="126" spans="1:8">
      <c r="A126" s="405">
        <v>1005</v>
      </c>
      <c r="B126" s="2" t="s">
        <v>643</v>
      </c>
      <c r="C126" s="2" t="s">
        <v>52</v>
      </c>
      <c r="D126" s="405">
        <v>150</v>
      </c>
      <c r="E126" s="3">
        <v>3199</v>
      </c>
      <c r="F126" s="3">
        <v>479850</v>
      </c>
      <c r="G126" s="2" t="s">
        <v>877</v>
      </c>
      <c r="H126" s="142">
        <v>45818</v>
      </c>
    </row>
    <row r="127" spans="1:8">
      <c r="A127" s="405">
        <v>1006</v>
      </c>
      <c r="B127" s="2" t="s">
        <v>871</v>
      </c>
      <c r="C127" s="2" t="s">
        <v>878</v>
      </c>
      <c r="D127" s="405">
        <v>60</v>
      </c>
      <c r="E127" s="3">
        <v>7499</v>
      </c>
      <c r="F127" s="3">
        <v>449940</v>
      </c>
      <c r="G127" s="2" t="s">
        <v>257</v>
      </c>
      <c r="H127" s="142">
        <v>45820</v>
      </c>
    </row>
    <row r="128" spans="1:8">
      <c r="A128" s="405">
        <v>1007</v>
      </c>
      <c r="B128" s="2" t="s">
        <v>873</v>
      </c>
      <c r="C128" s="2" t="s">
        <v>879</v>
      </c>
      <c r="D128" s="405">
        <v>85</v>
      </c>
      <c r="E128" s="3">
        <v>5299</v>
      </c>
      <c r="F128" s="3">
        <v>450415</v>
      </c>
      <c r="G128" s="2" t="s">
        <v>260</v>
      </c>
      <c r="H128" s="142">
        <v>45822</v>
      </c>
    </row>
    <row r="129" spans="1:8">
      <c r="A129" s="405">
        <v>1008</v>
      </c>
      <c r="B129" s="2" t="s">
        <v>875</v>
      </c>
      <c r="C129" s="2" t="s">
        <v>880</v>
      </c>
      <c r="D129" s="405">
        <v>210</v>
      </c>
      <c r="E129" s="2">
        <v>999</v>
      </c>
      <c r="F129" s="3">
        <v>209790</v>
      </c>
      <c r="G129" s="2" t="s">
        <v>258</v>
      </c>
      <c r="H129" s="142">
        <v>45824</v>
      </c>
    </row>
    <row r="130" spans="1:8">
      <c r="A130" s="405">
        <v>1009</v>
      </c>
      <c r="B130" s="2" t="s">
        <v>643</v>
      </c>
      <c r="C130" s="2" t="s">
        <v>50</v>
      </c>
      <c r="D130" s="405">
        <v>132</v>
      </c>
      <c r="E130" s="3">
        <v>4299</v>
      </c>
      <c r="F130" s="3">
        <v>567468</v>
      </c>
      <c r="G130" s="2" t="s">
        <v>259</v>
      </c>
      <c r="H130" s="142">
        <v>45826</v>
      </c>
    </row>
    <row r="131" spans="1:8">
      <c r="A131" s="405">
        <v>1010</v>
      </c>
      <c r="B131" s="2" t="s">
        <v>871</v>
      </c>
      <c r="C131" s="2" t="s">
        <v>881</v>
      </c>
      <c r="D131" s="405">
        <v>55</v>
      </c>
      <c r="E131" s="3">
        <v>3999</v>
      </c>
      <c r="F131" s="3">
        <v>219945</v>
      </c>
      <c r="G131" s="2" t="s">
        <v>877</v>
      </c>
      <c r="H131" s="142">
        <v>45828</v>
      </c>
    </row>
    <row r="132" spans="1:8">
      <c r="A132" s="405">
        <v>1011</v>
      </c>
      <c r="B132" s="2" t="s">
        <v>873</v>
      </c>
      <c r="C132" s="2" t="s">
        <v>882</v>
      </c>
      <c r="D132" s="405">
        <v>40</v>
      </c>
      <c r="E132" s="3">
        <v>22499</v>
      </c>
      <c r="F132" s="3">
        <v>899960</v>
      </c>
      <c r="G132" s="2" t="s">
        <v>257</v>
      </c>
      <c r="H132" s="142">
        <v>45830</v>
      </c>
    </row>
    <row r="133" spans="1:8">
      <c r="A133" s="405">
        <v>1012</v>
      </c>
      <c r="B133" s="2" t="s">
        <v>875</v>
      </c>
      <c r="C133" s="2" t="s">
        <v>883</v>
      </c>
      <c r="D133" s="405">
        <v>300</v>
      </c>
      <c r="E133" s="2">
        <v>599</v>
      </c>
      <c r="F133" s="3">
        <v>179700</v>
      </c>
      <c r="G133" s="2" t="s">
        <v>260</v>
      </c>
      <c r="H133" s="142">
        <v>45832</v>
      </c>
    </row>
    <row r="134" spans="1:8">
      <c r="A134" s="405">
        <v>1013</v>
      </c>
      <c r="B134" s="2" t="s">
        <v>643</v>
      </c>
      <c r="C134" s="2" t="s">
        <v>67</v>
      </c>
      <c r="D134" s="405">
        <v>30</v>
      </c>
      <c r="E134" s="3">
        <v>55000</v>
      </c>
      <c r="F134" s="3">
        <v>1650000</v>
      </c>
      <c r="G134" s="2" t="s">
        <v>258</v>
      </c>
      <c r="H134" s="142">
        <v>45833</v>
      </c>
    </row>
    <row r="135" spans="1:8">
      <c r="A135" s="405">
        <v>1014</v>
      </c>
      <c r="B135" s="2" t="s">
        <v>871</v>
      </c>
      <c r="C135" s="2" t="s">
        <v>884</v>
      </c>
      <c r="D135" s="405">
        <v>18</v>
      </c>
      <c r="E135" s="3">
        <v>32999</v>
      </c>
      <c r="F135" s="3">
        <v>593982</v>
      </c>
      <c r="G135" s="2" t="s">
        <v>259</v>
      </c>
      <c r="H135" s="142">
        <v>45835</v>
      </c>
    </row>
    <row r="136" spans="1:8">
      <c r="A136" s="405">
        <v>1015</v>
      </c>
      <c r="B136" s="2" t="s">
        <v>873</v>
      </c>
      <c r="C136" s="2" t="s">
        <v>885</v>
      </c>
      <c r="D136" s="405">
        <v>45</v>
      </c>
      <c r="E136" s="3">
        <v>19499</v>
      </c>
      <c r="F136" s="3">
        <v>877455</v>
      </c>
      <c r="G136" s="2" t="s">
        <v>877</v>
      </c>
      <c r="H136" s="142">
        <v>45837</v>
      </c>
    </row>
    <row r="137" spans="1:8">
      <c r="E137" s="23" t="s">
        <v>905</v>
      </c>
      <c r="F137">
        <f>SUBTOTAL(9,F122:F136)</f>
        <v>7813482</v>
      </c>
    </row>
    <row r="139" spans="1:8">
      <c r="A139" s="301" t="s">
        <v>906</v>
      </c>
      <c r="B139" s="267"/>
      <c r="C139" s="267"/>
      <c r="D139" s="267"/>
      <c r="E139" s="267"/>
      <c r="F139" s="268"/>
    </row>
    <row r="141" spans="1:8">
      <c r="A141" t="s">
        <v>907</v>
      </c>
    </row>
    <row r="142" spans="1:8">
      <c r="A142" s="226" t="s">
        <v>911</v>
      </c>
    </row>
    <row r="143" spans="1:8">
      <c r="A143" t="s">
        <v>908</v>
      </c>
    </row>
    <row r="144" spans="1:8">
      <c r="A144" t="s">
        <v>909</v>
      </c>
    </row>
    <row r="145" spans="1:1">
      <c r="A145" t="s">
        <v>910</v>
      </c>
    </row>
    <row r="146" spans="1:1">
      <c r="A146" s="226" t="s">
        <v>912</v>
      </c>
    </row>
  </sheetData>
  <autoFilter ref="A121:H136" xr:uid="{C3C707A5-8918-4334-A4C3-A359295F4503}"/>
  <sortState xmlns:xlrd2="http://schemas.microsoft.com/office/spreadsheetml/2017/richdata2" ref="B27:B44">
    <sortCondition ref="B27:B44"/>
  </sortState>
  <dataConsolidate topLabels="1">
    <dataRefs count="2">
      <dataRef ref="B37:D40" sheet="Section11-5"/>
      <dataRef ref="G37:I40" sheet="Section11-5"/>
    </dataRefs>
  </dataConsolid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DA72B-BDDA-4D64-BC51-43550FEFF1D7}">
  <sheetPr codeName="Sheet25"/>
  <dimension ref="A1:V78"/>
  <sheetViews>
    <sheetView topLeftCell="A19" workbookViewId="0">
      <selection activeCell="N63" sqref="N63"/>
    </sheetView>
  </sheetViews>
  <sheetFormatPr defaultRowHeight="15"/>
  <cols>
    <col min="15" max="15" width="10.85546875" customWidth="1"/>
  </cols>
  <sheetData>
    <row r="1" spans="1:22">
      <c r="A1" s="313" t="s">
        <v>913</v>
      </c>
      <c r="B1" s="73"/>
      <c r="C1" s="73"/>
      <c r="D1" s="73"/>
      <c r="E1" s="73"/>
      <c r="F1" s="73"/>
      <c r="G1" s="73"/>
      <c r="H1" s="73"/>
    </row>
    <row r="2" spans="1:22">
      <c r="N2" s="282" t="s">
        <v>957</v>
      </c>
      <c r="O2" s="283"/>
      <c r="P2" s="283"/>
      <c r="Q2" s="283"/>
      <c r="R2" s="283"/>
      <c r="S2" s="283"/>
      <c r="T2" s="283"/>
      <c r="U2" s="283"/>
      <c r="V2" s="411"/>
    </row>
    <row r="3" spans="1:22">
      <c r="A3" s="226" t="s">
        <v>922</v>
      </c>
    </row>
    <row r="4" spans="1:22">
      <c r="A4" s="22" t="s">
        <v>923</v>
      </c>
      <c r="N4" s="23" t="s">
        <v>958</v>
      </c>
      <c r="O4" s="23"/>
      <c r="Q4" t="s">
        <v>959</v>
      </c>
    </row>
    <row r="5" spans="1:22">
      <c r="A5" t="s">
        <v>914</v>
      </c>
      <c r="Q5" t="s">
        <v>960</v>
      </c>
    </row>
    <row r="6" spans="1:22">
      <c r="A6" t="s">
        <v>915</v>
      </c>
      <c r="Q6" s="22" t="s">
        <v>965</v>
      </c>
    </row>
    <row r="7" spans="1:22" ht="14.25" customHeight="1">
      <c r="A7" s="160" t="s">
        <v>916</v>
      </c>
      <c r="Q7" t="s">
        <v>961</v>
      </c>
    </row>
    <row r="8" spans="1:22">
      <c r="A8" s="160" t="s">
        <v>917</v>
      </c>
      <c r="Q8" t="s">
        <v>962</v>
      </c>
    </row>
    <row r="9" spans="1:22" ht="15" customHeight="1">
      <c r="A9" s="160" t="s">
        <v>918</v>
      </c>
      <c r="Q9" t="s">
        <v>963</v>
      </c>
    </row>
    <row r="10" spans="1:22">
      <c r="A10" s="160" t="s">
        <v>919</v>
      </c>
      <c r="N10" s="23" t="s">
        <v>964</v>
      </c>
      <c r="O10" s="23"/>
      <c r="Q10" t="s">
        <v>966</v>
      </c>
    </row>
    <row r="11" spans="1:22">
      <c r="A11" s="160" t="s">
        <v>920</v>
      </c>
      <c r="F11" t="s">
        <v>60</v>
      </c>
      <c r="Q11" t="s">
        <v>967</v>
      </c>
    </row>
    <row r="12" spans="1:22">
      <c r="A12" s="23" t="s">
        <v>921</v>
      </c>
      <c r="Q12" t="s">
        <v>968</v>
      </c>
    </row>
    <row r="13" spans="1:22">
      <c r="A13" s="22" t="s">
        <v>924</v>
      </c>
      <c r="G13" t="s">
        <v>60</v>
      </c>
      <c r="M13" t="s">
        <v>60</v>
      </c>
      <c r="Q13" t="s">
        <v>969</v>
      </c>
    </row>
    <row r="14" spans="1:22">
      <c r="A14" s="22" t="s">
        <v>925</v>
      </c>
      <c r="Q14" t="s">
        <v>970</v>
      </c>
    </row>
    <row r="15" spans="1:22">
      <c r="A15" s="22" t="s">
        <v>926</v>
      </c>
    </row>
    <row r="16" spans="1:22">
      <c r="A16" s="160"/>
    </row>
    <row r="17" spans="1:22">
      <c r="A17" s="248" t="s">
        <v>927</v>
      </c>
      <c r="B17" s="98"/>
      <c r="C17" s="98"/>
      <c r="D17" s="98"/>
      <c r="E17" s="98"/>
      <c r="F17" s="98"/>
      <c r="G17" s="98"/>
      <c r="N17" s="335"/>
      <c r="O17" s="23"/>
      <c r="P17" s="242" t="s">
        <v>971</v>
      </c>
      <c r="Q17" s="178"/>
      <c r="R17" s="178"/>
      <c r="S17" s="178"/>
      <c r="T17" s="178"/>
      <c r="U17" s="178"/>
      <c r="V17" s="178"/>
    </row>
    <row r="19" spans="1:22">
      <c r="A19" s="226" t="s">
        <v>928</v>
      </c>
      <c r="B19" s="23"/>
      <c r="C19" t="s">
        <v>929</v>
      </c>
      <c r="H19" s="23" t="s">
        <v>936</v>
      </c>
      <c r="I19" s="23"/>
      <c r="J19" t="s">
        <v>937</v>
      </c>
      <c r="P19" s="23"/>
    </row>
    <row r="20" spans="1:22">
      <c r="C20" t="s">
        <v>930</v>
      </c>
      <c r="J20" t="s">
        <v>938</v>
      </c>
      <c r="O20">
        <v>1</v>
      </c>
      <c r="P20" t="s">
        <v>972</v>
      </c>
    </row>
    <row r="21" spans="1:22">
      <c r="C21" t="s">
        <v>931</v>
      </c>
      <c r="J21" t="s">
        <v>939</v>
      </c>
      <c r="O21">
        <v>2</v>
      </c>
      <c r="P21" t="s">
        <v>973</v>
      </c>
    </row>
    <row r="22" spans="1:22">
      <c r="C22" t="s">
        <v>932</v>
      </c>
      <c r="J22" t="s">
        <v>940</v>
      </c>
      <c r="O22">
        <v>3</v>
      </c>
      <c r="P22" s="22" t="s">
        <v>978</v>
      </c>
    </row>
    <row r="23" spans="1:22">
      <c r="C23" t="s">
        <v>933</v>
      </c>
      <c r="J23" t="s">
        <v>941</v>
      </c>
      <c r="O23">
        <v>4</v>
      </c>
      <c r="P23" s="22" t="s">
        <v>979</v>
      </c>
    </row>
    <row r="24" spans="1:22">
      <c r="C24" t="s">
        <v>934</v>
      </c>
      <c r="J24" t="s">
        <v>942</v>
      </c>
      <c r="O24">
        <v>5</v>
      </c>
      <c r="P24" s="22" t="s">
        <v>977</v>
      </c>
    </row>
    <row r="25" spans="1:22">
      <c r="C25" t="s">
        <v>935</v>
      </c>
      <c r="O25">
        <v>6</v>
      </c>
      <c r="P25" s="22" t="s">
        <v>976</v>
      </c>
    </row>
    <row r="26" spans="1:22">
      <c r="A26" s="23"/>
      <c r="B26" s="23"/>
      <c r="O26">
        <v>7</v>
      </c>
      <c r="P26" t="s">
        <v>974</v>
      </c>
    </row>
    <row r="27" spans="1:22">
      <c r="A27" s="260" t="s">
        <v>943</v>
      </c>
      <c r="B27" s="261"/>
      <c r="C27" s="261"/>
      <c r="D27" s="261"/>
      <c r="E27" s="261"/>
      <c r="F27" s="261"/>
      <c r="G27" s="261"/>
      <c r="H27" s="269"/>
      <c r="O27">
        <v>8</v>
      </c>
      <c r="P27" s="22" t="s">
        <v>975</v>
      </c>
    </row>
    <row r="29" spans="1:22">
      <c r="A29">
        <v>1</v>
      </c>
      <c r="B29" s="22" t="s">
        <v>944</v>
      </c>
    </row>
    <row r="30" spans="1:22">
      <c r="B30" s="23" t="s">
        <v>945</v>
      </c>
      <c r="O30" s="270" t="s">
        <v>980</v>
      </c>
      <c r="P30" s="271"/>
      <c r="Q30" s="271"/>
      <c r="R30" s="271"/>
      <c r="S30" s="271"/>
      <c r="T30" s="271"/>
      <c r="U30" s="271"/>
    </row>
    <row r="31" spans="1:22">
      <c r="B31" s="23" t="s">
        <v>946</v>
      </c>
    </row>
    <row r="32" spans="1:22">
      <c r="A32">
        <v>2</v>
      </c>
      <c r="B32" t="s">
        <v>947</v>
      </c>
      <c r="Q32" s="23" t="s">
        <v>981</v>
      </c>
    </row>
    <row r="33" spans="1:22">
      <c r="B33" s="23" t="s">
        <v>948</v>
      </c>
    </row>
    <row r="34" spans="1:22">
      <c r="B34" s="23" t="s">
        <v>949</v>
      </c>
    </row>
    <row r="35" spans="1:22">
      <c r="A35">
        <v>3</v>
      </c>
      <c r="B35" t="s">
        <v>950</v>
      </c>
      <c r="O35" s="412" t="s">
        <v>982</v>
      </c>
      <c r="P35" s="413"/>
      <c r="Q35" s="413"/>
      <c r="R35" s="413"/>
      <c r="S35" s="413"/>
      <c r="T35" s="413"/>
      <c r="U35" s="413"/>
    </row>
    <row r="36" spans="1:22">
      <c r="B36" s="23" t="s">
        <v>951</v>
      </c>
    </row>
    <row r="37" spans="1:22">
      <c r="B37" s="23" t="s">
        <v>952</v>
      </c>
    </row>
    <row r="38" spans="1:22">
      <c r="A38">
        <v>4</v>
      </c>
      <c r="B38" t="s">
        <v>953</v>
      </c>
    </row>
    <row r="39" spans="1:22">
      <c r="B39" s="23" t="s">
        <v>951</v>
      </c>
    </row>
    <row r="40" spans="1:22">
      <c r="B40" s="23" t="s">
        <v>952</v>
      </c>
    </row>
    <row r="41" spans="1:22">
      <c r="A41">
        <v>5</v>
      </c>
      <c r="B41" t="s">
        <v>954</v>
      </c>
      <c r="O41" s="245" t="s">
        <v>992</v>
      </c>
      <c r="P41" s="246"/>
      <c r="Q41" s="246"/>
      <c r="R41" s="246"/>
      <c r="S41" s="246"/>
      <c r="T41" s="246"/>
      <c r="U41" s="246"/>
      <c r="V41" s="246"/>
    </row>
    <row r="42" spans="1:22">
      <c r="B42" s="23" t="s">
        <v>955</v>
      </c>
    </row>
    <row r="43" spans="1:22">
      <c r="B43" s="23" t="s">
        <v>956</v>
      </c>
      <c r="O43" s="22" t="s">
        <v>998</v>
      </c>
    </row>
    <row r="44" spans="1:22">
      <c r="O44" t="s">
        <v>993</v>
      </c>
    </row>
    <row r="45" spans="1:22">
      <c r="O45" t="s">
        <v>994</v>
      </c>
    </row>
    <row r="46" spans="1:22">
      <c r="A46" s="414" t="s">
        <v>983</v>
      </c>
      <c r="B46" s="276"/>
      <c r="C46" s="276"/>
      <c r="D46" s="276"/>
      <c r="E46" s="276"/>
      <c r="F46" s="276"/>
      <c r="G46" s="276"/>
      <c r="H46" s="276"/>
      <c r="O46" t="s">
        <v>995</v>
      </c>
    </row>
    <row r="47" spans="1:22">
      <c r="O47" s="23" t="s">
        <v>996</v>
      </c>
      <c r="P47" s="23"/>
      <c r="Q47" s="23"/>
      <c r="R47" s="23"/>
    </row>
    <row r="48" spans="1:22">
      <c r="A48" t="s">
        <v>984</v>
      </c>
      <c r="M48" s="160"/>
      <c r="O48" s="22" t="s">
        <v>999</v>
      </c>
    </row>
    <row r="49" spans="1:15">
      <c r="A49" s="160">
        <v>1</v>
      </c>
      <c r="B49" s="160" t="s">
        <v>985</v>
      </c>
      <c r="M49" s="160"/>
      <c r="O49" s="22" t="s">
        <v>1000</v>
      </c>
    </row>
    <row r="50" spans="1:15">
      <c r="A50" s="160">
        <v>2</v>
      </c>
      <c r="B50" s="415" t="s">
        <v>987</v>
      </c>
      <c r="M50" s="160"/>
      <c r="O50" s="22" t="s">
        <v>1001</v>
      </c>
    </row>
    <row r="51" spans="1:15">
      <c r="A51" s="160">
        <v>3</v>
      </c>
      <c r="B51" s="415" t="s">
        <v>988</v>
      </c>
      <c r="M51" s="160"/>
      <c r="O51" s="22" t="s">
        <v>1002</v>
      </c>
    </row>
    <row r="52" spans="1:15">
      <c r="A52" s="160">
        <v>4</v>
      </c>
      <c r="B52" s="22" t="s">
        <v>989</v>
      </c>
      <c r="M52" s="160"/>
      <c r="O52" s="415" t="s">
        <v>1003</v>
      </c>
    </row>
    <row r="53" spans="1:15">
      <c r="A53" s="160">
        <v>5</v>
      </c>
      <c r="B53" s="22" t="s">
        <v>990</v>
      </c>
      <c r="L53" t="s">
        <v>60</v>
      </c>
      <c r="O53" t="s">
        <v>997</v>
      </c>
    </row>
    <row r="54" spans="1:15">
      <c r="A54" s="160">
        <v>6</v>
      </c>
      <c r="B54" s="160" t="s">
        <v>986</v>
      </c>
    </row>
    <row r="55" spans="1:15">
      <c r="A55" s="160">
        <v>7</v>
      </c>
      <c r="B55" s="22" t="s">
        <v>991</v>
      </c>
    </row>
    <row r="56" spans="1:15">
      <c r="M56" t="s">
        <v>60</v>
      </c>
    </row>
    <row r="57" spans="1:15">
      <c r="A57" s="416" t="s">
        <v>1004</v>
      </c>
      <c r="B57" s="417"/>
      <c r="C57" s="417"/>
      <c r="D57" s="417"/>
      <c r="E57" s="417"/>
      <c r="F57" s="417"/>
      <c r="G57" s="417"/>
      <c r="J57" t="s">
        <v>60</v>
      </c>
    </row>
    <row r="59" spans="1:15">
      <c r="A59">
        <v>1</v>
      </c>
      <c r="B59" t="s">
        <v>1005</v>
      </c>
    </row>
    <row r="60" spans="1:15">
      <c r="B60" t="s">
        <v>1006</v>
      </c>
    </row>
    <row r="61" spans="1:15">
      <c r="A61">
        <v>2</v>
      </c>
      <c r="B61" t="s">
        <v>1008</v>
      </c>
    </row>
    <row r="62" spans="1:15">
      <c r="B62" t="s">
        <v>1007</v>
      </c>
    </row>
    <row r="63" spans="1:15">
      <c r="A63">
        <v>3</v>
      </c>
      <c r="B63" t="s">
        <v>1010</v>
      </c>
    </row>
    <row r="64" spans="1:15">
      <c r="B64" s="160" t="s">
        <v>1009</v>
      </c>
    </row>
    <row r="65" spans="1:2">
      <c r="A65">
        <v>4</v>
      </c>
      <c r="B65" t="s">
        <v>1011</v>
      </c>
    </row>
    <row r="66" spans="1:2">
      <c r="B66" t="s">
        <v>1012</v>
      </c>
    </row>
    <row r="67" spans="1:2">
      <c r="A67">
        <v>5</v>
      </c>
      <c r="B67" t="s">
        <v>1014</v>
      </c>
    </row>
    <row r="68" spans="1:2">
      <c r="B68" t="s">
        <v>1013</v>
      </c>
    </row>
    <row r="69" spans="1:2">
      <c r="A69">
        <v>6</v>
      </c>
      <c r="B69" t="s">
        <v>1015</v>
      </c>
    </row>
    <row r="70" spans="1:2">
      <c r="B70" t="s">
        <v>1016</v>
      </c>
    </row>
    <row r="71" spans="1:2">
      <c r="A71">
        <v>7</v>
      </c>
      <c r="B71" t="s">
        <v>1018</v>
      </c>
    </row>
    <row r="72" spans="1:2">
      <c r="B72" t="s">
        <v>1017</v>
      </c>
    </row>
    <row r="73" spans="1:2">
      <c r="A73">
        <v>8</v>
      </c>
      <c r="B73" s="22" t="s">
        <v>1020</v>
      </c>
    </row>
    <row r="74" spans="1:2">
      <c r="B74" t="s">
        <v>1019</v>
      </c>
    </row>
    <row r="75" spans="1:2">
      <c r="A75">
        <v>9</v>
      </c>
      <c r="B75" t="s">
        <v>1022</v>
      </c>
    </row>
    <row r="76" spans="1:2">
      <c r="B76" t="s">
        <v>1021</v>
      </c>
    </row>
    <row r="77" spans="1:2">
      <c r="A77">
        <v>10</v>
      </c>
      <c r="B77" t="s">
        <v>1024</v>
      </c>
    </row>
    <row r="78" spans="1:2">
      <c r="B78" t="s">
        <v>1023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00F64-B8FD-4ECF-A1A1-50F38EA5EA35}">
  <sheetPr codeName="Sheet26"/>
  <dimension ref="A1:BH84"/>
  <sheetViews>
    <sheetView topLeftCell="A47" workbookViewId="0">
      <selection activeCell="G55" sqref="G55"/>
    </sheetView>
  </sheetViews>
  <sheetFormatPr defaultRowHeight="15"/>
  <cols>
    <col min="1" max="1" width="17.140625" style="423" customWidth="1"/>
    <col min="2" max="2" width="17" bestFit="1" customWidth="1"/>
    <col min="3" max="3" width="10.85546875" bestFit="1" customWidth="1"/>
    <col min="4" max="4" width="10.140625" bestFit="1" customWidth="1"/>
    <col min="5" max="5" width="9.7109375" bestFit="1" customWidth="1"/>
    <col min="6" max="6" width="10.7109375" bestFit="1" customWidth="1"/>
    <col min="7" max="7" width="13.5703125" customWidth="1"/>
    <col min="8" max="8" width="14" customWidth="1"/>
    <col min="9" max="9" width="20.28515625" customWidth="1"/>
    <col min="10" max="10" width="11.5703125" customWidth="1"/>
    <col min="11" max="11" width="19.85546875" customWidth="1"/>
    <col min="12" max="12" width="12.28515625" customWidth="1"/>
    <col min="13" max="13" width="12.140625" customWidth="1"/>
    <col min="14" max="14" width="12.85546875" customWidth="1"/>
    <col min="15" max="15" width="11.28515625" customWidth="1"/>
  </cols>
  <sheetData>
    <row r="1" spans="1:60" s="422" customFormat="1">
      <c r="A1" s="270" t="s">
        <v>1054</v>
      </c>
      <c r="B1" s="271"/>
      <c r="C1" s="271"/>
      <c r="D1" s="271"/>
      <c r="E1" s="271"/>
      <c r="F1" s="271"/>
      <c r="G1" s="271"/>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row>
    <row r="2" spans="1:60">
      <c r="A2"/>
      <c r="B2" t="s">
        <v>60</v>
      </c>
      <c r="G2" s="419"/>
      <c r="H2" s="418"/>
      <c r="I2" s="418"/>
      <c r="J2" s="418"/>
      <c r="K2" s="418"/>
      <c r="L2" s="418"/>
    </row>
    <row r="3" spans="1:60" ht="30">
      <c r="A3" s="419" t="s">
        <v>655</v>
      </c>
      <c r="B3" s="418" t="s">
        <v>49</v>
      </c>
      <c r="C3" s="418" t="s">
        <v>656</v>
      </c>
      <c r="D3" s="418" t="s">
        <v>130</v>
      </c>
      <c r="E3" s="418" t="s">
        <v>821</v>
      </c>
      <c r="F3" s="418" t="s">
        <v>842</v>
      </c>
      <c r="G3" s="418"/>
      <c r="H3" s="418"/>
      <c r="I3" s="418"/>
      <c r="J3" s="418"/>
      <c r="M3" s="419" t="s">
        <v>655</v>
      </c>
      <c r="N3" s="418" t="s">
        <v>49</v>
      </c>
      <c r="O3" s="418" t="s">
        <v>656</v>
      </c>
      <c r="P3" s="418" t="s">
        <v>130</v>
      </c>
      <c r="Q3" s="418" t="s">
        <v>821</v>
      </c>
      <c r="R3" s="418" t="s">
        <v>842</v>
      </c>
    </row>
    <row r="4" spans="1:60" ht="30">
      <c r="A4" s="2" t="s">
        <v>1025</v>
      </c>
      <c r="B4" s="2" t="s">
        <v>143</v>
      </c>
      <c r="C4" s="2" t="s">
        <v>643</v>
      </c>
      <c r="D4" s="2">
        <v>120</v>
      </c>
      <c r="E4" s="2">
        <v>2499</v>
      </c>
      <c r="F4" s="2">
        <v>299880</v>
      </c>
      <c r="G4" s="2"/>
      <c r="H4" s="2"/>
      <c r="I4" s="2"/>
      <c r="J4" s="2"/>
      <c r="M4" s="2" t="s">
        <v>1025</v>
      </c>
      <c r="N4" s="2" t="s">
        <v>143</v>
      </c>
      <c r="O4" s="2" t="s">
        <v>643</v>
      </c>
      <c r="P4" s="2">
        <v>120</v>
      </c>
      <c r="Q4" s="2">
        <v>2499</v>
      </c>
      <c r="R4" s="2">
        <v>299880</v>
      </c>
    </row>
    <row r="5" spans="1:60">
      <c r="A5" s="2" t="s">
        <v>1026</v>
      </c>
      <c r="B5" s="2" t="s">
        <v>872</v>
      </c>
      <c r="C5" s="2" t="s">
        <v>871</v>
      </c>
      <c r="D5" s="2">
        <v>85</v>
      </c>
      <c r="E5" s="2">
        <v>4410</v>
      </c>
      <c r="F5" s="2">
        <v>374925</v>
      </c>
      <c r="G5" s="2"/>
      <c r="H5" s="2"/>
      <c r="I5" s="252" t="s">
        <v>1053</v>
      </c>
      <c r="J5" s="2"/>
      <c r="M5" s="2" t="s">
        <v>1026</v>
      </c>
      <c r="N5" s="2" t="s">
        <v>872</v>
      </c>
      <c r="O5" s="2" t="s">
        <v>871</v>
      </c>
      <c r="P5" s="2">
        <v>85</v>
      </c>
      <c r="Q5" s="2">
        <v>4410</v>
      </c>
      <c r="R5" s="2">
        <v>374925</v>
      </c>
    </row>
    <row r="6" spans="1:60">
      <c r="A6" s="2" t="s">
        <v>1027</v>
      </c>
      <c r="B6" s="2" t="s">
        <v>874</v>
      </c>
      <c r="C6" s="2" t="s">
        <v>1028</v>
      </c>
      <c r="D6" s="2">
        <v>54</v>
      </c>
      <c r="E6" s="2">
        <v>6043</v>
      </c>
      <c r="F6" s="2">
        <v>326352</v>
      </c>
      <c r="G6" s="2"/>
      <c r="H6" s="2"/>
      <c r="I6" s="28" t="s">
        <v>1052</v>
      </c>
      <c r="J6" s="2"/>
      <c r="M6" s="2" t="s">
        <v>1027</v>
      </c>
      <c r="N6" s="2" t="s">
        <v>874</v>
      </c>
      <c r="O6" s="2" t="s">
        <v>1028</v>
      </c>
      <c r="P6" s="2">
        <v>54</v>
      </c>
      <c r="Q6" s="2">
        <v>6043</v>
      </c>
      <c r="R6" s="2">
        <v>326352</v>
      </c>
    </row>
    <row r="7" spans="1:60">
      <c r="A7" s="2" t="s">
        <v>1029</v>
      </c>
      <c r="B7" s="2" t="s">
        <v>876</v>
      </c>
      <c r="C7" s="2" t="s">
        <v>875</v>
      </c>
      <c r="D7" s="2">
        <v>132</v>
      </c>
      <c r="E7" s="2">
        <v>1771</v>
      </c>
      <c r="F7" s="2">
        <v>233820</v>
      </c>
      <c r="G7" s="2"/>
      <c r="H7" s="2"/>
      <c r="I7" s="2"/>
      <c r="J7" s="2"/>
      <c r="M7" s="2" t="s">
        <v>1029</v>
      </c>
      <c r="N7" s="2" t="s">
        <v>876</v>
      </c>
      <c r="O7" s="2" t="s">
        <v>875</v>
      </c>
      <c r="P7" s="2">
        <v>132</v>
      </c>
      <c r="Q7" s="2">
        <v>1771</v>
      </c>
      <c r="R7" s="2">
        <v>233820</v>
      </c>
    </row>
    <row r="8" spans="1:60">
      <c r="A8" s="2" t="s">
        <v>1030</v>
      </c>
      <c r="B8" s="2" t="s">
        <v>50</v>
      </c>
      <c r="C8" s="2" t="s">
        <v>643</v>
      </c>
      <c r="D8" s="2">
        <v>108</v>
      </c>
      <c r="E8" s="2">
        <v>5254</v>
      </c>
      <c r="F8" s="2">
        <v>567468</v>
      </c>
      <c r="G8" s="2"/>
      <c r="H8" s="2"/>
      <c r="I8" s="2"/>
      <c r="J8" s="2"/>
      <c r="M8" s="2" t="s">
        <v>1030</v>
      </c>
      <c r="N8" s="2" t="s">
        <v>50</v>
      </c>
      <c r="O8" s="2" t="s">
        <v>643</v>
      </c>
      <c r="P8" s="2">
        <v>108</v>
      </c>
      <c r="Q8" s="2">
        <v>5254</v>
      </c>
      <c r="R8" s="2">
        <v>567468</v>
      </c>
    </row>
    <row r="9" spans="1:60">
      <c r="A9" s="2" t="s">
        <v>1031</v>
      </c>
      <c r="B9" s="2" t="s">
        <v>878</v>
      </c>
      <c r="C9" s="2" t="s">
        <v>871</v>
      </c>
      <c r="D9" s="2">
        <v>60</v>
      </c>
      <c r="E9" s="2">
        <v>7499</v>
      </c>
      <c r="F9" s="2">
        <v>449940</v>
      </c>
      <c r="G9" s="2"/>
      <c r="H9" s="2"/>
      <c r="I9" s="2"/>
      <c r="J9" s="2"/>
      <c r="M9" s="2" t="s">
        <v>1031</v>
      </c>
      <c r="N9" s="2" t="s">
        <v>878</v>
      </c>
      <c r="O9" s="2" t="s">
        <v>871</v>
      </c>
      <c r="P9" s="2">
        <v>60</v>
      </c>
      <c r="Q9" s="2">
        <v>7499</v>
      </c>
      <c r="R9" s="2">
        <v>449940</v>
      </c>
    </row>
    <row r="10" spans="1:60">
      <c r="A10" s="2" t="s">
        <v>1032</v>
      </c>
      <c r="B10" s="2" t="s">
        <v>882</v>
      </c>
      <c r="C10" s="2" t="s">
        <v>1028</v>
      </c>
      <c r="D10" s="2">
        <v>28</v>
      </c>
      <c r="E10" s="2">
        <v>32141</v>
      </c>
      <c r="F10" s="2">
        <v>899960</v>
      </c>
      <c r="G10" s="2"/>
      <c r="H10" s="2"/>
      <c r="I10" s="2"/>
      <c r="J10" s="2"/>
      <c r="M10" s="2" t="s">
        <v>1032</v>
      </c>
      <c r="N10" s="2" t="s">
        <v>882</v>
      </c>
      <c r="O10" s="2" t="s">
        <v>1028</v>
      </c>
      <c r="P10" s="2">
        <v>28</v>
      </c>
      <c r="Q10" s="2">
        <v>32141</v>
      </c>
      <c r="R10" s="2">
        <v>899960</v>
      </c>
    </row>
    <row r="11" spans="1:60" ht="30">
      <c r="A11" s="2" t="s">
        <v>1033</v>
      </c>
      <c r="B11" s="2" t="s">
        <v>880</v>
      </c>
      <c r="C11" s="2" t="s">
        <v>875</v>
      </c>
      <c r="D11" s="2">
        <v>118</v>
      </c>
      <c r="E11" s="2">
        <v>1777</v>
      </c>
      <c r="F11" s="2">
        <v>209790</v>
      </c>
      <c r="G11" s="2"/>
      <c r="H11" s="2"/>
      <c r="I11" s="2"/>
      <c r="J11" s="2"/>
      <c r="M11" s="2" t="s">
        <v>1033</v>
      </c>
      <c r="N11" s="2" t="s">
        <v>880</v>
      </c>
      <c r="O11" s="2" t="s">
        <v>875</v>
      </c>
      <c r="P11" s="2">
        <v>118</v>
      </c>
      <c r="Q11" s="2">
        <v>1777</v>
      </c>
      <c r="R11" s="2">
        <v>209790</v>
      </c>
    </row>
    <row r="12" spans="1:60" ht="30">
      <c r="A12" s="2" t="s">
        <v>1034</v>
      </c>
      <c r="B12" s="2" t="s">
        <v>52</v>
      </c>
      <c r="C12" s="2" t="s">
        <v>643</v>
      </c>
      <c r="D12" s="2">
        <v>123</v>
      </c>
      <c r="E12" s="2">
        <v>3900</v>
      </c>
      <c r="F12" s="2">
        <v>479850</v>
      </c>
      <c r="G12" s="2"/>
      <c r="H12" s="2"/>
      <c r="I12" s="2"/>
      <c r="J12" s="2"/>
      <c r="M12" s="2" t="s">
        <v>1034</v>
      </c>
      <c r="N12" s="2" t="s">
        <v>52</v>
      </c>
      <c r="O12" s="2" t="s">
        <v>643</v>
      </c>
      <c r="P12" s="2">
        <v>123</v>
      </c>
      <c r="Q12" s="2">
        <v>3900</v>
      </c>
      <c r="R12" s="2">
        <v>479850</v>
      </c>
    </row>
    <row r="13" spans="1:60">
      <c r="A13" s="2" t="s">
        <v>1035</v>
      </c>
      <c r="B13" s="2" t="s">
        <v>881</v>
      </c>
      <c r="C13" s="2" t="s">
        <v>871</v>
      </c>
      <c r="D13" s="2">
        <v>57</v>
      </c>
      <c r="E13" s="2">
        <v>3867</v>
      </c>
      <c r="F13" s="2">
        <v>219945</v>
      </c>
      <c r="G13" s="2"/>
      <c r="H13" s="2"/>
      <c r="I13" s="2"/>
      <c r="J13" s="2"/>
      <c r="M13" s="2" t="s">
        <v>1035</v>
      </c>
      <c r="N13" s="2" t="s">
        <v>881</v>
      </c>
      <c r="O13" s="2" t="s">
        <v>871</v>
      </c>
      <c r="P13" s="2">
        <v>57</v>
      </c>
      <c r="Q13" s="2">
        <v>3867</v>
      </c>
      <c r="R13" s="2">
        <v>219945</v>
      </c>
    </row>
    <row r="14" spans="1:60">
      <c r="A14"/>
      <c r="K14" t="s">
        <v>60</v>
      </c>
    </row>
    <row r="15" spans="1:60">
      <c r="A15"/>
    </row>
    <row r="16" spans="1:60">
      <c r="A16" s="212" t="s">
        <v>1037</v>
      </c>
      <c r="B16" s="6"/>
      <c r="C16" s="6"/>
      <c r="D16" s="6"/>
      <c r="F16" s="335" t="s">
        <v>1036</v>
      </c>
      <c r="G16" s="23"/>
      <c r="H16" s="23"/>
      <c r="I16" s="23"/>
      <c r="J16" s="23"/>
      <c r="K16" s="23" t="s">
        <v>1038</v>
      </c>
    </row>
    <row r="17" spans="1:15" ht="15.75">
      <c r="A17" s="424"/>
      <c r="B17" s="1"/>
      <c r="C17" s="1" t="s">
        <v>1039</v>
      </c>
      <c r="D17" s="1"/>
      <c r="E17" s="1"/>
      <c r="F17" s="1"/>
    </row>
    <row r="18" spans="1:15" ht="15.75">
      <c r="A18" s="425"/>
      <c r="B18" s="2"/>
      <c r="C18" s="2"/>
      <c r="D18" s="2"/>
      <c r="E18" s="2"/>
      <c r="F18" s="2"/>
      <c r="J18" s="418"/>
      <c r="K18" s="418"/>
      <c r="L18" s="418"/>
      <c r="M18" s="418"/>
      <c r="N18" s="418"/>
      <c r="O18" s="418"/>
    </row>
    <row r="19" spans="1:15" ht="15.75">
      <c r="A19" s="428" t="s">
        <v>1040</v>
      </c>
      <c r="B19" s="429"/>
      <c r="C19" s="429"/>
      <c r="D19" s="429"/>
      <c r="E19" s="429"/>
      <c r="F19" s="280"/>
      <c r="J19" s="282" t="s">
        <v>1041</v>
      </c>
      <c r="K19" s="420"/>
      <c r="L19" s="420"/>
      <c r="M19" s="420"/>
      <c r="N19" s="420"/>
      <c r="O19" s="420"/>
    </row>
    <row r="20" spans="1:15" ht="15.75">
      <c r="A20" s="425"/>
      <c r="B20" s="2"/>
      <c r="C20" s="2"/>
      <c r="D20" s="2"/>
      <c r="E20" s="2"/>
      <c r="F20" s="2"/>
      <c r="J20" s="2"/>
      <c r="K20" s="2"/>
      <c r="L20" s="2"/>
      <c r="M20" s="2"/>
      <c r="N20" s="2"/>
      <c r="O20" s="2"/>
    </row>
    <row r="21" spans="1:15" ht="15.75">
      <c r="A21" s="425" t="s">
        <v>1075</v>
      </c>
      <c r="B21" s="2"/>
      <c r="C21" s="2"/>
      <c r="D21" s="2"/>
      <c r="E21" s="2"/>
      <c r="F21" s="2"/>
      <c r="I21" s="119"/>
    </row>
    <row r="22" spans="1:15" ht="15.75">
      <c r="A22" s="426" t="s">
        <v>1076</v>
      </c>
      <c r="B22" s="2"/>
      <c r="C22" s="119"/>
    </row>
    <row r="23" spans="1:15" ht="15.75">
      <c r="A23" s="426"/>
    </row>
    <row r="24" spans="1:15" ht="15.75">
      <c r="A24" s="426"/>
    </row>
    <row r="25" spans="1:15" ht="15.75">
      <c r="A25" s="426"/>
    </row>
    <row r="26" spans="1:15" ht="15.75">
      <c r="A26" s="426"/>
    </row>
    <row r="27" spans="1:15" ht="15.75">
      <c r="A27" s="426"/>
      <c r="B27" t="s">
        <v>60</v>
      </c>
      <c r="G27" t="s">
        <v>60</v>
      </c>
    </row>
    <row r="28" spans="1:15" ht="15.75">
      <c r="A28" s="426"/>
    </row>
    <row r="29" spans="1:15" ht="15.75">
      <c r="A29" s="426"/>
    </row>
    <row r="30" spans="1:15" ht="15.75">
      <c r="A30" s="426"/>
    </row>
    <row r="31" spans="1:15" ht="15.75">
      <c r="A31" s="426"/>
    </row>
    <row r="32" spans="1:15" ht="15.75">
      <c r="A32" s="426"/>
    </row>
    <row r="33" spans="1:12" ht="15.75">
      <c r="A33" s="426"/>
    </row>
    <row r="34" spans="1:12" ht="15.75">
      <c r="A34" s="426"/>
    </row>
    <row r="35" spans="1:12" ht="15.75">
      <c r="A35" s="426"/>
    </row>
    <row r="36" spans="1:12" ht="15.75">
      <c r="A36" s="426"/>
    </row>
    <row r="37" spans="1:12" ht="15.75">
      <c r="A37" s="426"/>
    </row>
    <row r="38" spans="1:12" ht="15.75">
      <c r="A38" s="426"/>
    </row>
    <row r="39" spans="1:12" ht="15.75">
      <c r="A39" s="426"/>
    </row>
    <row r="40" spans="1:12" ht="15.75">
      <c r="A40" s="427" t="s">
        <v>1043</v>
      </c>
      <c r="B40" s="344"/>
      <c r="C40" s="344"/>
      <c r="D40" s="344"/>
      <c r="I40" s="1" t="s">
        <v>1055</v>
      </c>
      <c r="J40" s="1" t="s">
        <v>427</v>
      </c>
      <c r="K40" s="1" t="s">
        <v>426</v>
      </c>
      <c r="L40" s="1" t="s">
        <v>1056</v>
      </c>
    </row>
    <row r="41" spans="1:12" ht="15.75">
      <c r="A41" s="426"/>
      <c r="I41" s="2" t="s">
        <v>205</v>
      </c>
      <c r="J41" s="2">
        <v>14</v>
      </c>
      <c r="K41" s="2">
        <v>8</v>
      </c>
      <c r="L41" s="2">
        <v>152</v>
      </c>
    </row>
    <row r="42" spans="1:12" ht="15.75">
      <c r="A42" s="426">
        <v>1</v>
      </c>
      <c r="B42" t="s">
        <v>1044</v>
      </c>
      <c r="I42" s="2" t="s">
        <v>206</v>
      </c>
      <c r="J42" s="2">
        <v>15</v>
      </c>
      <c r="K42" s="2">
        <v>9</v>
      </c>
      <c r="L42" s="2">
        <v>160</v>
      </c>
    </row>
    <row r="43" spans="1:12" ht="15.75">
      <c r="A43" s="426"/>
      <c r="B43" s="22" t="s">
        <v>1045</v>
      </c>
      <c r="G43" t="s">
        <v>60</v>
      </c>
      <c r="I43" s="2" t="s">
        <v>207</v>
      </c>
      <c r="J43" s="2">
        <v>13</v>
      </c>
      <c r="K43" s="2">
        <v>7</v>
      </c>
      <c r="L43" s="2">
        <v>148</v>
      </c>
    </row>
    <row r="44" spans="1:12" ht="15.75">
      <c r="A44" s="426"/>
      <c r="B44" s="22" t="s">
        <v>1046</v>
      </c>
      <c r="I44" s="2" t="s">
        <v>209</v>
      </c>
      <c r="J44" s="2">
        <v>16</v>
      </c>
      <c r="K44" s="2">
        <v>10</v>
      </c>
      <c r="L44" s="2">
        <v>170</v>
      </c>
    </row>
    <row r="45" spans="1:12" ht="15.75">
      <c r="A45" s="426">
        <v>2</v>
      </c>
      <c r="B45" s="226" t="s">
        <v>1050</v>
      </c>
      <c r="G45" t="s">
        <v>60</v>
      </c>
      <c r="I45" s="2" t="s">
        <v>215</v>
      </c>
      <c r="J45" s="2">
        <v>14</v>
      </c>
      <c r="K45" s="2">
        <v>8</v>
      </c>
      <c r="L45" s="2">
        <v>155</v>
      </c>
    </row>
    <row r="46" spans="1:12" ht="15.75">
      <c r="A46" s="426"/>
      <c r="B46" s="22" t="s">
        <v>1051</v>
      </c>
    </row>
    <row r="47" spans="1:12" ht="15.75">
      <c r="A47" s="426">
        <v>3</v>
      </c>
      <c r="B47" t="s">
        <v>1047</v>
      </c>
    </row>
    <row r="48" spans="1:12" ht="15.75">
      <c r="A48" s="426"/>
      <c r="B48" s="160" t="s">
        <v>1048</v>
      </c>
    </row>
    <row r="49" spans="1:14" ht="15.75">
      <c r="A49" s="426"/>
      <c r="B49" s="160" t="s">
        <v>1049</v>
      </c>
    </row>
    <row r="50" spans="1:14" ht="15.75">
      <c r="A50" s="426"/>
      <c r="B50" s="160"/>
    </row>
    <row r="51" spans="1:14" ht="15.75">
      <c r="A51" s="426"/>
    </row>
    <row r="52" spans="1:14" ht="15.75">
      <c r="A52" s="430" t="s">
        <v>1042</v>
      </c>
      <c r="B52" s="421"/>
      <c r="C52" s="421"/>
      <c r="D52" s="421"/>
    </row>
    <row r="53" spans="1:14">
      <c r="I53" s="1"/>
      <c r="J53" s="1"/>
      <c r="K53" s="1"/>
      <c r="L53" s="1"/>
    </row>
    <row r="54" spans="1:14" ht="30">
      <c r="A54" s="1" t="s">
        <v>1055</v>
      </c>
      <c r="B54" s="1" t="s">
        <v>427</v>
      </c>
      <c r="C54" s="1" t="s">
        <v>426</v>
      </c>
      <c r="D54" s="1" t="s">
        <v>1056</v>
      </c>
    </row>
    <row r="55" spans="1:14">
      <c r="A55" s="2" t="s">
        <v>205</v>
      </c>
      <c r="B55" s="2">
        <v>14</v>
      </c>
      <c r="C55" s="2">
        <v>8</v>
      </c>
      <c r="D55" s="2">
        <v>152</v>
      </c>
      <c r="E55" t="s">
        <v>60</v>
      </c>
      <c r="F55" t="s">
        <v>1079</v>
      </c>
      <c r="G55" s="1"/>
      <c r="H55" s="1"/>
      <c r="I55" s="1"/>
      <c r="J55" s="1"/>
    </row>
    <row r="56" spans="1:14">
      <c r="A56" s="2" t="s">
        <v>206</v>
      </c>
      <c r="B56" s="2">
        <v>15</v>
      </c>
      <c r="C56" s="2">
        <v>9</v>
      </c>
      <c r="D56" s="2">
        <v>160</v>
      </c>
      <c r="G56" s="2"/>
      <c r="H56" s="2"/>
      <c r="I56" s="2"/>
      <c r="J56" s="2"/>
    </row>
    <row r="57" spans="1:14">
      <c r="A57" s="2" t="s">
        <v>207</v>
      </c>
      <c r="B57" s="2">
        <v>13</v>
      </c>
      <c r="C57" s="2">
        <v>7</v>
      </c>
      <c r="D57" s="2">
        <v>148</v>
      </c>
      <c r="G57" s="2"/>
      <c r="H57" s="2"/>
      <c r="I57" s="2"/>
      <c r="J57" s="2"/>
    </row>
    <row r="58" spans="1:14">
      <c r="A58" s="2" t="s">
        <v>209</v>
      </c>
      <c r="B58" s="2">
        <v>16</v>
      </c>
      <c r="C58" s="2">
        <v>10</v>
      </c>
      <c r="D58" s="2">
        <v>170</v>
      </c>
      <c r="G58" s="2"/>
      <c r="H58" s="2"/>
      <c r="I58" s="2"/>
      <c r="J58" s="2"/>
    </row>
    <row r="59" spans="1:14">
      <c r="A59" s="2" t="s">
        <v>215</v>
      </c>
      <c r="B59" s="2">
        <v>14</v>
      </c>
      <c r="C59" s="2">
        <v>8</v>
      </c>
      <c r="D59" s="2">
        <v>155</v>
      </c>
      <c r="G59" s="2"/>
      <c r="H59" s="2"/>
      <c r="I59" s="2"/>
      <c r="J59" s="2"/>
    </row>
    <row r="60" spans="1:14">
      <c r="K60" s="2"/>
      <c r="L60" s="2"/>
      <c r="M60" s="2"/>
      <c r="N60" s="2">
        <v>155</v>
      </c>
    </row>
    <row r="64" spans="1:14">
      <c r="A64" s="374" t="s">
        <v>1057</v>
      </c>
      <c r="B64" s="375"/>
      <c r="C64" s="375"/>
      <c r="D64" s="375"/>
      <c r="E64" s="375"/>
      <c r="F64" s="192"/>
    </row>
    <row r="66" spans="1:3">
      <c r="A66" s="423">
        <v>1</v>
      </c>
      <c r="B66" s="226" t="s">
        <v>1065</v>
      </c>
    </row>
    <row r="67" spans="1:3">
      <c r="A67" s="423">
        <v>2</v>
      </c>
      <c r="B67" s="23" t="s">
        <v>1058</v>
      </c>
    </row>
    <row r="68" spans="1:3">
      <c r="B68" s="22" t="s">
        <v>1066</v>
      </c>
    </row>
    <row r="69" spans="1:3">
      <c r="B69" t="s">
        <v>1059</v>
      </c>
    </row>
    <row r="70" spans="1:3">
      <c r="A70" s="423">
        <v>3</v>
      </c>
      <c r="B70" s="23" t="s">
        <v>1060</v>
      </c>
    </row>
    <row r="71" spans="1:3">
      <c r="B71" t="s">
        <v>1061</v>
      </c>
    </row>
    <row r="72" spans="1:3">
      <c r="B72" t="s">
        <v>1062</v>
      </c>
    </row>
    <row r="73" spans="1:3">
      <c r="A73" s="423">
        <v>4</v>
      </c>
      <c r="B73" s="23" t="s">
        <v>1063</v>
      </c>
    </row>
    <row r="74" spans="1:3">
      <c r="B74" s="22" t="s">
        <v>1067</v>
      </c>
    </row>
    <row r="75" spans="1:3">
      <c r="A75" s="423">
        <v>5</v>
      </c>
      <c r="B75" s="23" t="s">
        <v>1064</v>
      </c>
    </row>
    <row r="76" spans="1:3">
      <c r="B76" s="22" t="s">
        <v>1068</v>
      </c>
    </row>
    <row r="79" spans="1:3">
      <c r="A79" s="23" t="s">
        <v>1069</v>
      </c>
      <c r="B79" s="23"/>
      <c r="C79" s="23"/>
    </row>
    <row r="80" spans="1:3">
      <c r="A80" s="23" t="s">
        <v>1070</v>
      </c>
    </row>
    <row r="81" spans="1:1">
      <c r="A81" s="23" t="s">
        <v>1071</v>
      </c>
    </row>
    <row r="82" spans="1:1">
      <c r="A82" s="23" t="s">
        <v>1072</v>
      </c>
    </row>
    <row r="83" spans="1:1">
      <c r="A83" s="23" t="s">
        <v>1073</v>
      </c>
    </row>
    <row r="84" spans="1:1">
      <c r="A84" s="23" t="s">
        <v>1074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9" r:id="rId3" name="Button 5">
              <controlPr defaultSize="0" print="0" autoFill="0" autoPict="0" macro="[0]!Macro3">
                <anchor moveWithCells="1" sizeWithCells="1">
                  <from>
                    <xdr:col>8</xdr:col>
                    <xdr:colOff>85725</xdr:colOff>
                    <xdr:row>20</xdr:row>
                    <xdr:rowOff>47625</xdr:rowOff>
                  </from>
                  <to>
                    <xdr:col>8</xdr:col>
                    <xdr:colOff>1257300</xdr:colOff>
                    <xdr:row>21</xdr:row>
                    <xdr:rowOff>171450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83B20-4BBB-4A70-AED1-F0EE1D808728}">
  <sheetPr codeName="Sheet29"/>
  <dimension ref="A1:M18"/>
  <sheetViews>
    <sheetView workbookViewId="0">
      <selection activeCell="A11" sqref="A11:G11"/>
    </sheetView>
  </sheetViews>
  <sheetFormatPr defaultRowHeight="15"/>
  <cols>
    <col min="1" max="1" width="7.85546875" bestFit="1" customWidth="1"/>
    <col min="2" max="2" width="5.85546875" bestFit="1" customWidth="1"/>
    <col min="3" max="3" width="7.42578125" bestFit="1" customWidth="1"/>
    <col min="4" max="4" width="8.28515625" bestFit="1" customWidth="1"/>
    <col min="15" max="15" width="8.5703125" bestFit="1" customWidth="1"/>
    <col min="16" max="16" width="4.28515625" bestFit="1" customWidth="1"/>
    <col min="17" max="17" width="6" bestFit="1" customWidth="1"/>
    <col min="18" max="18" width="7" bestFit="1" customWidth="1"/>
  </cols>
  <sheetData>
    <row r="1" spans="1:13">
      <c r="A1" s="292" t="s">
        <v>1077</v>
      </c>
      <c r="B1" s="294"/>
      <c r="C1" s="294"/>
      <c r="D1" s="294"/>
      <c r="E1" s="294"/>
      <c r="F1" s="294"/>
      <c r="G1" s="294"/>
    </row>
    <row r="3" spans="1:13" ht="30">
      <c r="A3" s="1" t="s">
        <v>1055</v>
      </c>
      <c r="B3" s="1" t="s">
        <v>427</v>
      </c>
      <c r="C3" s="1" t="s">
        <v>426</v>
      </c>
      <c r="D3" s="1" t="s">
        <v>1056</v>
      </c>
    </row>
    <row r="4" spans="1:13" ht="30">
      <c r="A4" s="2" t="s">
        <v>205</v>
      </c>
      <c r="B4" s="2">
        <v>14</v>
      </c>
      <c r="C4" s="2">
        <v>8</v>
      </c>
      <c r="D4" s="2">
        <v>152</v>
      </c>
    </row>
    <row r="5" spans="1:13" ht="30">
      <c r="A5" s="2" t="s">
        <v>206</v>
      </c>
      <c r="B5" s="2">
        <v>15</v>
      </c>
      <c r="C5" s="2">
        <v>9</v>
      </c>
      <c r="D5" s="2">
        <v>160</v>
      </c>
    </row>
    <row r="6" spans="1:13" ht="30">
      <c r="A6" s="2" t="s">
        <v>207</v>
      </c>
      <c r="B6" s="2">
        <v>13</v>
      </c>
      <c r="C6" s="2">
        <v>7</v>
      </c>
      <c r="D6" s="2">
        <v>148</v>
      </c>
      <c r="M6" t="s">
        <v>60</v>
      </c>
    </row>
    <row r="7" spans="1:13" ht="30">
      <c r="A7" s="2" t="s">
        <v>209</v>
      </c>
      <c r="B7" s="2">
        <v>16</v>
      </c>
      <c r="C7" s="2">
        <v>10</v>
      </c>
      <c r="D7" s="2">
        <v>170</v>
      </c>
    </row>
    <row r="8" spans="1:13" ht="30">
      <c r="A8" s="2" t="s">
        <v>215</v>
      </c>
      <c r="B8" s="2">
        <v>14</v>
      </c>
      <c r="C8" s="2">
        <v>8</v>
      </c>
      <c r="D8" s="2">
        <v>155</v>
      </c>
    </row>
    <row r="11" spans="1:13">
      <c r="A11" s="431"/>
    </row>
    <row r="13" spans="1:13">
      <c r="A13" s="1"/>
      <c r="B13" s="1"/>
      <c r="C13" s="1"/>
      <c r="D13" s="1"/>
    </row>
    <row r="14" spans="1:13">
      <c r="A14" s="2"/>
      <c r="B14" s="2"/>
      <c r="C14" s="2"/>
      <c r="D14" s="2"/>
    </row>
    <row r="15" spans="1:13">
      <c r="A15" s="2"/>
      <c r="B15" s="2"/>
      <c r="C15" s="2"/>
      <c r="D15" s="2"/>
    </row>
    <row r="16" spans="1:13">
      <c r="A16" s="2"/>
      <c r="B16" s="2"/>
      <c r="C16" s="2"/>
      <c r="D16" s="2"/>
    </row>
    <row r="17" spans="1:4">
      <c r="A17" s="2"/>
      <c r="B17" s="2"/>
      <c r="C17" s="2"/>
      <c r="D17" s="2"/>
    </row>
    <row r="18" spans="1:4">
      <c r="A18" s="2"/>
      <c r="B18" s="2"/>
      <c r="C18" s="2"/>
      <c r="D18" s="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E8E1C-4ABE-46D0-92B7-CBC60FCA1272}">
  <sheetPr codeName="Sheet27"/>
  <dimension ref="A1:V30"/>
  <sheetViews>
    <sheetView workbookViewId="0">
      <selection activeCell="L30" sqref="L30"/>
    </sheetView>
  </sheetViews>
  <sheetFormatPr defaultRowHeight="15"/>
  <cols>
    <col min="1" max="1" width="11" style="432" customWidth="1"/>
    <col min="2" max="2" width="9" bestFit="1" customWidth="1"/>
    <col min="3" max="3" width="6.28515625" bestFit="1" customWidth="1"/>
    <col min="4" max="4" width="8.42578125" bestFit="1" customWidth="1"/>
    <col min="6" max="6" width="10.28515625" customWidth="1"/>
  </cols>
  <sheetData>
    <row r="1" spans="1:18">
      <c r="A1" s="433" t="s">
        <v>1078</v>
      </c>
      <c r="B1" s="434"/>
      <c r="C1" s="434"/>
      <c r="D1" s="434"/>
      <c r="E1" s="434"/>
      <c r="F1" s="434"/>
      <c r="G1" s="434"/>
      <c r="N1" s="1" t="s">
        <v>1055</v>
      </c>
      <c r="O1" s="1" t="s">
        <v>854</v>
      </c>
      <c r="P1" s="1" t="s">
        <v>1080</v>
      </c>
      <c r="Q1" s="1" t="s">
        <v>1081</v>
      </c>
      <c r="R1" s="418"/>
    </row>
    <row r="2" spans="1:18" ht="30">
      <c r="N2" s="2" t="s">
        <v>205</v>
      </c>
      <c r="O2" s="2" t="s">
        <v>1082</v>
      </c>
      <c r="P2" s="2" t="s">
        <v>1083</v>
      </c>
      <c r="Q2" s="2">
        <v>799</v>
      </c>
      <c r="R2" s="2"/>
    </row>
    <row r="3" spans="1:18" ht="30">
      <c r="A3" s="1" t="s">
        <v>1055</v>
      </c>
      <c r="B3" s="1" t="s">
        <v>854</v>
      </c>
      <c r="C3" s="1" t="s">
        <v>1080</v>
      </c>
      <c r="D3" s="1" t="s">
        <v>1081</v>
      </c>
      <c r="K3" t="s">
        <v>60</v>
      </c>
      <c r="N3" s="2" t="s">
        <v>206</v>
      </c>
      <c r="O3" s="2" t="s">
        <v>1084</v>
      </c>
      <c r="P3" s="2" t="s">
        <v>1085</v>
      </c>
      <c r="Q3" s="3">
        <v>1450</v>
      </c>
      <c r="R3" s="3"/>
    </row>
    <row r="4" spans="1:18" ht="30">
      <c r="A4" s="2" t="s">
        <v>205</v>
      </c>
      <c r="B4" s="2" t="s">
        <v>1082</v>
      </c>
      <c r="C4" s="2" t="s">
        <v>1083</v>
      </c>
      <c r="D4" s="2">
        <v>799</v>
      </c>
      <c r="G4" t="s">
        <v>60</v>
      </c>
      <c r="I4" t="s">
        <v>60</v>
      </c>
      <c r="J4" t="s">
        <v>60</v>
      </c>
      <c r="L4" t="s">
        <v>60</v>
      </c>
      <c r="N4" s="2" t="s">
        <v>207</v>
      </c>
      <c r="O4" s="2" t="s">
        <v>1086</v>
      </c>
      <c r="P4" s="2">
        <v>42</v>
      </c>
      <c r="Q4" s="3">
        <v>2899</v>
      </c>
      <c r="R4" s="3"/>
    </row>
    <row r="5" spans="1:18" ht="30">
      <c r="A5" s="2" t="s">
        <v>206</v>
      </c>
      <c r="B5" s="2" t="s">
        <v>1084</v>
      </c>
      <c r="C5" s="2" t="s">
        <v>1085</v>
      </c>
      <c r="D5" s="3">
        <v>1450</v>
      </c>
      <c r="L5" t="s">
        <v>60</v>
      </c>
      <c r="N5" s="2" t="s">
        <v>209</v>
      </c>
      <c r="O5" s="2" t="s">
        <v>1087</v>
      </c>
      <c r="P5" s="2" t="s">
        <v>1088</v>
      </c>
      <c r="Q5" s="2">
        <v>350</v>
      </c>
      <c r="R5" s="2"/>
    </row>
    <row r="6" spans="1:18" ht="30">
      <c r="A6" s="2" t="s">
        <v>207</v>
      </c>
      <c r="B6" s="2" t="s">
        <v>1086</v>
      </c>
      <c r="C6" s="2">
        <v>42</v>
      </c>
      <c r="D6" s="3">
        <v>2899</v>
      </c>
      <c r="N6" s="2" t="s">
        <v>215</v>
      </c>
      <c r="O6" s="2" t="s">
        <v>1089</v>
      </c>
      <c r="P6" s="2" t="s">
        <v>1090</v>
      </c>
      <c r="Q6" s="3">
        <v>2499</v>
      </c>
      <c r="R6" s="3"/>
    </row>
    <row r="7" spans="1:18" ht="30">
      <c r="A7" s="2" t="s">
        <v>209</v>
      </c>
      <c r="B7" s="2" t="s">
        <v>1087</v>
      </c>
      <c r="C7" s="2" t="s">
        <v>1088</v>
      </c>
      <c r="D7" s="2">
        <v>350</v>
      </c>
      <c r="K7" t="s">
        <v>60</v>
      </c>
    </row>
    <row r="8" spans="1:18" ht="30">
      <c r="A8" s="2" t="s">
        <v>215</v>
      </c>
      <c r="B8" s="2" t="s">
        <v>1089</v>
      </c>
      <c r="C8" s="2" t="s">
        <v>1090</v>
      </c>
      <c r="D8" s="3">
        <v>2499</v>
      </c>
    </row>
    <row r="9" spans="1:18">
      <c r="A9"/>
    </row>
    <row r="12" spans="1:18">
      <c r="A12" s="337" t="s">
        <v>1091</v>
      </c>
      <c r="B12" s="338"/>
      <c r="C12" s="338"/>
      <c r="D12" s="338"/>
      <c r="E12" s="338"/>
      <c r="F12" s="338"/>
      <c r="G12" s="338"/>
      <c r="H12" s="338"/>
    </row>
    <row r="14" spans="1:18">
      <c r="A14" s="432">
        <v>1</v>
      </c>
      <c r="B14" t="s">
        <v>1103</v>
      </c>
    </row>
    <row r="15" spans="1:18">
      <c r="A15" s="435"/>
      <c r="B15" s="23" t="s">
        <v>1092</v>
      </c>
    </row>
    <row r="16" spans="1:18">
      <c r="A16" s="432">
        <v>2</v>
      </c>
      <c r="B16" t="s">
        <v>1093</v>
      </c>
    </row>
    <row r="17" spans="1:22">
      <c r="B17" s="23" t="s">
        <v>1094</v>
      </c>
    </row>
    <row r="18" spans="1:22">
      <c r="A18" s="432">
        <v>3</v>
      </c>
      <c r="B18" t="s">
        <v>1095</v>
      </c>
    </row>
    <row r="19" spans="1:22">
      <c r="B19" s="23" t="s">
        <v>1096</v>
      </c>
    </row>
    <row r="20" spans="1:22">
      <c r="A20" s="432">
        <v>4</v>
      </c>
      <c r="B20" t="s">
        <v>1097</v>
      </c>
    </row>
    <row r="21" spans="1:22">
      <c r="B21" s="23" t="s">
        <v>1098</v>
      </c>
    </row>
    <row r="22" spans="1:22">
      <c r="A22" s="432">
        <v>5</v>
      </c>
      <c r="B22" t="s">
        <v>1099</v>
      </c>
    </row>
    <row r="23" spans="1:22">
      <c r="B23" s="23" t="s">
        <v>1100</v>
      </c>
    </row>
    <row r="24" spans="1:22">
      <c r="A24" s="432">
        <v>6</v>
      </c>
      <c r="B24" t="s">
        <v>1101</v>
      </c>
    </row>
    <row r="25" spans="1:22">
      <c r="B25" s="23" t="s">
        <v>1102</v>
      </c>
    </row>
    <row r="28" spans="1:22">
      <c r="A28" s="314" t="s">
        <v>1104</v>
      </c>
      <c r="B28" s="315"/>
      <c r="C28" s="315"/>
      <c r="D28" s="315"/>
      <c r="E28" s="315"/>
      <c r="F28" s="315"/>
      <c r="G28" s="23"/>
      <c r="H28" s="23" t="s">
        <v>981</v>
      </c>
      <c r="L28" s="436" t="s">
        <v>1105</v>
      </c>
      <c r="M28" s="350"/>
      <c r="N28" s="350"/>
      <c r="O28" s="350"/>
      <c r="P28" s="350"/>
      <c r="Q28" s="350"/>
      <c r="R28" s="350"/>
      <c r="S28" s="350"/>
      <c r="T28" s="350"/>
      <c r="U28" s="350"/>
      <c r="V28" s="350"/>
    </row>
    <row r="30" spans="1:22">
      <c r="L30" s="23" t="s">
        <v>981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81C9C-69AD-40B1-905C-B7EF2F34DD62}">
  <sheetPr codeName="Sheet28"/>
  <dimension ref="A1:T36"/>
  <sheetViews>
    <sheetView workbookViewId="0">
      <selection activeCell="O37" sqref="O37"/>
    </sheetView>
  </sheetViews>
  <sheetFormatPr defaultRowHeight="15"/>
  <cols>
    <col min="2" max="2" width="14" customWidth="1"/>
  </cols>
  <sheetData>
    <row r="1" spans="1:20">
      <c r="A1" s="374" t="s">
        <v>1106</v>
      </c>
      <c r="B1" s="375"/>
      <c r="C1" s="375"/>
      <c r="D1" s="375"/>
      <c r="E1" s="375"/>
    </row>
    <row r="3" spans="1:20">
      <c r="B3" t="s">
        <v>1053</v>
      </c>
    </row>
    <row r="4" spans="1:20">
      <c r="B4" t="s">
        <v>1107</v>
      </c>
    </row>
    <row r="8" spans="1:20">
      <c r="A8" s="343" t="s">
        <v>1108</v>
      </c>
      <c r="B8" s="344"/>
      <c r="C8" s="344"/>
      <c r="D8" s="344"/>
      <c r="E8" s="344"/>
      <c r="G8" s="23" t="s">
        <v>981</v>
      </c>
    </row>
    <row r="11" spans="1:20">
      <c r="A11" s="437" t="s">
        <v>1109</v>
      </c>
      <c r="B11" s="294"/>
      <c r="C11" s="294"/>
      <c r="D11" s="294"/>
      <c r="E11" s="294"/>
      <c r="F11" s="294"/>
      <c r="G11" s="294"/>
      <c r="N11" s="438" t="s">
        <v>1131</v>
      </c>
      <c r="O11" s="261"/>
      <c r="P11" s="261"/>
      <c r="Q11" s="261"/>
      <c r="R11" s="261"/>
      <c r="S11" s="261"/>
      <c r="T11" s="261"/>
    </row>
    <row r="13" spans="1:20">
      <c r="A13">
        <v>1</v>
      </c>
      <c r="B13" t="s">
        <v>1110</v>
      </c>
      <c r="O13">
        <v>1</v>
      </c>
      <c r="P13" t="s">
        <v>1132</v>
      </c>
    </row>
    <row r="14" spans="1:20">
      <c r="B14" s="23" t="s">
        <v>1111</v>
      </c>
      <c r="O14">
        <v>2</v>
      </c>
      <c r="P14" t="s">
        <v>1133</v>
      </c>
    </row>
    <row r="15" spans="1:20">
      <c r="B15" s="23" t="s">
        <v>1112</v>
      </c>
      <c r="O15">
        <v>3</v>
      </c>
      <c r="P15" t="s">
        <v>1134</v>
      </c>
    </row>
    <row r="16" spans="1:20">
      <c r="B16" s="23" t="s">
        <v>1113</v>
      </c>
      <c r="O16">
        <v>4</v>
      </c>
      <c r="P16" t="s">
        <v>1135</v>
      </c>
    </row>
    <row r="17" spans="1:19">
      <c r="A17">
        <v>2</v>
      </c>
      <c r="B17" t="s">
        <v>1114</v>
      </c>
      <c r="O17">
        <v>5</v>
      </c>
      <c r="P17" t="s">
        <v>1136</v>
      </c>
    </row>
    <row r="18" spans="1:19">
      <c r="B18" s="23" t="s">
        <v>1115</v>
      </c>
    </row>
    <row r="19" spans="1:19">
      <c r="B19" s="23" t="s">
        <v>1116</v>
      </c>
    </row>
    <row r="20" spans="1:19">
      <c r="B20" s="23" t="s">
        <v>1117</v>
      </c>
      <c r="N20" s="275" t="s">
        <v>1137</v>
      </c>
      <c r="O20" s="276"/>
      <c r="P20" s="276"/>
      <c r="Q20" s="276"/>
      <c r="R20" s="276"/>
      <c r="S20" s="276"/>
    </row>
    <row r="21" spans="1:19">
      <c r="A21">
        <v>3</v>
      </c>
      <c r="B21" t="s">
        <v>1118</v>
      </c>
    </row>
    <row r="22" spans="1:19">
      <c r="B22" s="23" t="s">
        <v>1119</v>
      </c>
      <c r="N22">
        <v>1</v>
      </c>
      <c r="O22" t="s">
        <v>1138</v>
      </c>
    </row>
    <row r="23" spans="1:19">
      <c r="B23" s="23" t="s">
        <v>1120</v>
      </c>
      <c r="O23" t="s">
        <v>1139</v>
      </c>
    </row>
    <row r="24" spans="1:19">
      <c r="A24">
        <v>4</v>
      </c>
      <c r="B24" t="s">
        <v>1121</v>
      </c>
      <c r="N24">
        <v>2</v>
      </c>
      <c r="O24" t="s">
        <v>1134</v>
      </c>
    </row>
    <row r="25" spans="1:19">
      <c r="B25" s="23" t="s">
        <v>1122</v>
      </c>
      <c r="O25" t="s">
        <v>1140</v>
      </c>
    </row>
    <row r="26" spans="1:19">
      <c r="B26" s="23" t="s">
        <v>1123</v>
      </c>
      <c r="N26">
        <v>3</v>
      </c>
      <c r="O26" t="s">
        <v>1141</v>
      </c>
    </row>
    <row r="27" spans="1:19">
      <c r="B27" s="23" t="s">
        <v>1124</v>
      </c>
      <c r="O27" t="s">
        <v>1142</v>
      </c>
    </row>
    <row r="28" spans="1:19">
      <c r="A28">
        <v>5</v>
      </c>
      <c r="B28" t="s">
        <v>1125</v>
      </c>
      <c r="N28">
        <v>4</v>
      </c>
      <c r="O28" t="s">
        <v>1143</v>
      </c>
    </row>
    <row r="29" spans="1:19">
      <c r="B29" s="23" t="s">
        <v>1126</v>
      </c>
      <c r="O29" t="s">
        <v>1144</v>
      </c>
    </row>
    <row r="30" spans="1:19">
      <c r="B30" s="23" t="s">
        <v>1127</v>
      </c>
      <c r="N30">
        <v>5</v>
      </c>
      <c r="O30" t="s">
        <v>1145</v>
      </c>
    </row>
    <row r="31" spans="1:19">
      <c r="A31">
        <v>6</v>
      </c>
      <c r="B31" t="s">
        <v>1128</v>
      </c>
      <c r="O31" t="s">
        <v>1146</v>
      </c>
    </row>
    <row r="32" spans="1:19">
      <c r="B32" s="23" t="s">
        <v>1129</v>
      </c>
    </row>
    <row r="33" spans="1:9">
      <c r="B33" s="226" t="s">
        <v>1130</v>
      </c>
    </row>
    <row r="34" spans="1:9">
      <c r="B34" s="226"/>
    </row>
    <row r="35" spans="1:9">
      <c r="A35" s="431"/>
    </row>
    <row r="36" spans="1:9">
      <c r="I36" t="s">
        <v>60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E47E-4019-47D1-B023-8E8B179C161F}">
  <dimension ref="A1"/>
  <sheetViews>
    <sheetView workbookViewId="0"/>
  </sheetViews>
  <sheetFormatPr defaultRowHeight="1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8A6A-F648-4C14-BE4D-9195385AB4CE}">
  <sheetPr codeName="Sheet30"/>
  <dimension ref="A1:J42490"/>
  <sheetViews>
    <sheetView topLeftCell="A25" workbookViewId="0">
      <selection activeCell="K37" sqref="K37"/>
    </sheetView>
  </sheetViews>
  <sheetFormatPr defaultRowHeight="15"/>
  <cols>
    <col min="9" max="9" width="10.85546875" customWidth="1"/>
  </cols>
  <sheetData>
    <row r="1" spans="1:10">
      <c r="A1" s="248" t="s">
        <v>1147</v>
      </c>
      <c r="B1" s="98"/>
      <c r="C1" s="98"/>
      <c r="D1" s="98"/>
      <c r="E1" s="98"/>
      <c r="F1" s="98"/>
      <c r="G1" s="98"/>
      <c r="H1" s="98"/>
      <c r="I1" s="98"/>
    </row>
    <row r="3" spans="1:10">
      <c r="B3" s="23" t="s">
        <v>981</v>
      </c>
    </row>
    <row r="8" spans="1:10">
      <c r="A8" s="253" t="s">
        <v>1148</v>
      </c>
      <c r="B8" s="254"/>
      <c r="C8" s="254"/>
      <c r="D8" s="254"/>
      <c r="E8" s="254"/>
      <c r="F8" s="254"/>
    </row>
    <row r="10" spans="1:10">
      <c r="B10" s="23" t="s">
        <v>981</v>
      </c>
    </row>
    <row r="11" spans="1:10">
      <c r="J11" t="s">
        <v>60</v>
      </c>
    </row>
    <row r="13" spans="1:10">
      <c r="A13" s="414" t="s">
        <v>1149</v>
      </c>
      <c r="B13" s="276"/>
      <c r="C13" s="276"/>
      <c r="D13" s="276"/>
      <c r="E13" s="276"/>
      <c r="F13" s="276"/>
      <c r="G13" s="276"/>
      <c r="H13" s="276"/>
    </row>
    <row r="15" spans="1:10">
      <c r="A15">
        <v>1</v>
      </c>
      <c r="B15" t="s">
        <v>1150</v>
      </c>
    </row>
    <row r="16" spans="1:10">
      <c r="B16" s="23" t="s">
        <v>1151</v>
      </c>
    </row>
    <row r="17" spans="1:2">
      <c r="B17" s="23" t="s">
        <v>1152</v>
      </c>
    </row>
    <row r="18" spans="1:2">
      <c r="B18" s="23" t="s">
        <v>1153</v>
      </c>
    </row>
    <row r="19" spans="1:2">
      <c r="B19" s="23" t="s">
        <v>1154</v>
      </c>
    </row>
    <row r="20" spans="1:2">
      <c r="B20" s="23" t="s">
        <v>1155</v>
      </c>
    </row>
    <row r="21" spans="1:2">
      <c r="B21" t="s">
        <v>1156</v>
      </c>
    </row>
    <row r="22" spans="1:2">
      <c r="B22" t="s">
        <v>1157</v>
      </c>
    </row>
    <row r="23" spans="1:2">
      <c r="B23" t="s">
        <v>1158</v>
      </c>
    </row>
    <row r="24" spans="1:2">
      <c r="A24">
        <v>2</v>
      </c>
      <c r="B24" t="s">
        <v>1159</v>
      </c>
    </row>
    <row r="25" spans="1:2">
      <c r="B25" t="s">
        <v>1160</v>
      </c>
    </row>
    <row r="26" spans="1:2">
      <c r="B26" t="s">
        <v>1161</v>
      </c>
    </row>
    <row r="27" spans="1:2">
      <c r="A27">
        <v>3</v>
      </c>
      <c r="B27" t="s">
        <v>1162</v>
      </c>
    </row>
    <row r="28" spans="1:2">
      <c r="B28" s="22" t="s">
        <v>1171</v>
      </c>
    </row>
    <row r="29" spans="1:2">
      <c r="A29">
        <v>4</v>
      </c>
      <c r="B29" t="s">
        <v>1163</v>
      </c>
    </row>
    <row r="30" spans="1:2">
      <c r="B30" s="22" t="s">
        <v>1172</v>
      </c>
    </row>
    <row r="31" spans="1:2">
      <c r="B31" t="s">
        <v>1164</v>
      </c>
    </row>
    <row r="32" spans="1:2">
      <c r="A32">
        <v>5</v>
      </c>
      <c r="B32" t="s">
        <v>1165</v>
      </c>
    </row>
    <row r="33" spans="1:2">
      <c r="B33" t="s">
        <v>1166</v>
      </c>
    </row>
    <row r="34" spans="1:2">
      <c r="B34" t="s">
        <v>1167</v>
      </c>
    </row>
    <row r="35" spans="1:2">
      <c r="B35" s="226" t="s">
        <v>1173</v>
      </c>
    </row>
    <row r="36" spans="1:2">
      <c r="B36" s="226" t="s">
        <v>1174</v>
      </c>
    </row>
    <row r="37" spans="1:2">
      <c r="A37">
        <v>6</v>
      </c>
      <c r="B37" t="s">
        <v>1168</v>
      </c>
    </row>
    <row r="38" spans="1:2">
      <c r="B38" s="22" t="s">
        <v>1175</v>
      </c>
    </row>
    <row r="39" spans="1:2">
      <c r="A39">
        <v>7</v>
      </c>
      <c r="B39" t="s">
        <v>1169</v>
      </c>
    </row>
    <row r="40" spans="1:2">
      <c r="B40" s="22" t="s">
        <v>1176</v>
      </c>
    </row>
    <row r="41" spans="1:2">
      <c r="B41" t="s">
        <v>1170</v>
      </c>
    </row>
    <row r="2368" spans="1:2">
      <c r="A2368" s="253" t="s">
        <v>1148</v>
      </c>
      <c r="B2368" s="254"/>
    </row>
    <row r="2370" spans="2:2">
      <c r="B2370" s="23" t="s">
        <v>981</v>
      </c>
    </row>
    <row r="4728" spans="1:2">
      <c r="A4728" s="253" t="s">
        <v>1148</v>
      </c>
      <c r="B4728" s="254"/>
    </row>
    <row r="4730" spans="1:2">
      <c r="B4730" s="23" t="s">
        <v>981</v>
      </c>
    </row>
    <row r="7088" spans="1:2">
      <c r="A7088" s="253" t="s">
        <v>1148</v>
      </c>
      <c r="B7088" s="254"/>
    </row>
    <row r="7090" spans="2:2">
      <c r="B7090" s="23" t="s">
        <v>981</v>
      </c>
    </row>
    <row r="9448" spans="1:2">
      <c r="A9448" s="253" t="s">
        <v>1148</v>
      </c>
      <c r="B9448" s="254"/>
    </row>
    <row r="9450" spans="1:2">
      <c r="B9450" s="23" t="s">
        <v>981</v>
      </c>
    </row>
    <row r="11808" spans="1:2">
      <c r="A11808" s="253" t="s">
        <v>1148</v>
      </c>
      <c r="B11808" s="254"/>
    </row>
    <row r="11810" spans="2:2">
      <c r="B11810" s="23" t="s">
        <v>981</v>
      </c>
    </row>
    <row r="14168" spans="1:2">
      <c r="A14168" s="253" t="s">
        <v>1148</v>
      </c>
      <c r="B14168" s="254"/>
    </row>
    <row r="14170" spans="1:2">
      <c r="B14170" s="23" t="s">
        <v>981</v>
      </c>
    </row>
    <row r="16528" spans="1:2">
      <c r="A16528" s="253" t="s">
        <v>1148</v>
      </c>
      <c r="B16528" s="254"/>
    </row>
    <row r="16530" spans="2:2">
      <c r="B16530" s="23" t="s">
        <v>981</v>
      </c>
    </row>
    <row r="18888" spans="1:2">
      <c r="A18888" s="253" t="s">
        <v>1148</v>
      </c>
      <c r="B18888" s="254"/>
    </row>
    <row r="18890" spans="1:2">
      <c r="B18890" s="23" t="s">
        <v>981</v>
      </c>
    </row>
    <row r="21248" spans="1:2">
      <c r="A21248" s="253" t="s">
        <v>1148</v>
      </c>
      <c r="B21248" s="254"/>
    </row>
    <row r="21250" spans="2:2">
      <c r="B21250" s="23" t="s">
        <v>981</v>
      </c>
    </row>
    <row r="23608" spans="1:2">
      <c r="A23608" s="253" t="s">
        <v>1148</v>
      </c>
      <c r="B23608" s="254"/>
    </row>
    <row r="23610" spans="1:2">
      <c r="B23610" s="23" t="s">
        <v>981</v>
      </c>
    </row>
    <row r="25968" spans="1:2">
      <c r="A25968" s="253" t="s">
        <v>1148</v>
      </c>
      <c r="B25968" s="254"/>
    </row>
    <row r="25970" spans="2:2">
      <c r="B25970" s="23" t="s">
        <v>981</v>
      </c>
    </row>
    <row r="28328" spans="1:2">
      <c r="A28328" s="253" t="s">
        <v>1148</v>
      </c>
      <c r="B28328" s="254"/>
    </row>
    <row r="28330" spans="1:2">
      <c r="B28330" s="23" t="s">
        <v>981</v>
      </c>
    </row>
    <row r="30688" spans="1:2">
      <c r="A30688" s="253" t="s">
        <v>1148</v>
      </c>
      <c r="B30688" s="254"/>
    </row>
    <row r="30690" spans="2:2">
      <c r="B30690" s="23" t="s">
        <v>981</v>
      </c>
    </row>
    <row r="33048" spans="1:2">
      <c r="A33048" s="253" t="s">
        <v>1148</v>
      </c>
      <c r="B33048" s="254"/>
    </row>
    <row r="33050" spans="1:2">
      <c r="B33050" s="23" t="s">
        <v>981</v>
      </c>
    </row>
    <row r="35408" spans="1:2">
      <c r="A35408" s="253" t="s">
        <v>1148</v>
      </c>
      <c r="B35408" s="254"/>
    </row>
    <row r="35410" spans="2:2">
      <c r="B35410" s="23" t="s">
        <v>981</v>
      </c>
    </row>
    <row r="37768" spans="1:2">
      <c r="A37768" s="253" t="s">
        <v>1148</v>
      </c>
      <c r="B37768" s="254"/>
    </row>
    <row r="37770" spans="1:2">
      <c r="B37770" s="23" t="s">
        <v>981</v>
      </c>
    </row>
    <row r="40128" spans="1:2">
      <c r="A40128" s="253" t="s">
        <v>1148</v>
      </c>
      <c r="B40128" s="254"/>
    </row>
    <row r="40130" spans="2:2">
      <c r="B40130" s="23" t="s">
        <v>981</v>
      </c>
    </row>
    <row r="42488" spans="1:2">
      <c r="A42488" s="253" t="s">
        <v>1148</v>
      </c>
      <c r="B42488" s="254"/>
    </row>
    <row r="42490" spans="1:2">
      <c r="B42490" s="23" t="s">
        <v>981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Basics of excel</vt:lpstr>
      <vt:lpstr>Transpose</vt:lpstr>
      <vt:lpstr>All Count</vt:lpstr>
      <vt:lpstr>Quick Cal</vt:lpstr>
      <vt:lpstr>Percentage,Power</vt:lpstr>
      <vt:lpstr>Format Cells</vt:lpstr>
      <vt:lpstr>Format Numbers</vt:lpstr>
      <vt:lpstr>Wrap text AND Alignment</vt:lpstr>
      <vt:lpstr>Section3</vt:lpstr>
      <vt:lpstr>Section4</vt:lpstr>
      <vt:lpstr>Section5</vt:lpstr>
      <vt:lpstr>Section6</vt:lpstr>
      <vt:lpstr>Section7</vt:lpstr>
      <vt:lpstr>Pivot Sec7</vt:lpstr>
      <vt:lpstr>Pivot2 Sec7</vt:lpstr>
      <vt:lpstr>Section8</vt:lpstr>
      <vt:lpstr>Section 9</vt:lpstr>
      <vt:lpstr>Section10</vt:lpstr>
      <vt:lpstr>Section11-1</vt:lpstr>
      <vt:lpstr>Section11-2</vt:lpstr>
      <vt:lpstr>Section11-3</vt:lpstr>
      <vt:lpstr>Section11-4</vt:lpstr>
      <vt:lpstr>Section11-5</vt:lpstr>
      <vt:lpstr>Section11-6(summary)</vt:lpstr>
      <vt:lpstr>Section12</vt:lpstr>
      <vt:lpstr>Section12(Macro)</vt:lpstr>
      <vt:lpstr>Section12-2</vt:lpstr>
      <vt:lpstr>Section12-3</vt:lpstr>
      <vt:lpstr>Section12-4</vt:lpstr>
      <vt:lpstr>Sheet1</vt:lpstr>
      <vt:lpstr>Section12-5</vt:lpstr>
      <vt:lpstr>ProTable</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Ayana Khan</dc:creator>
  <cp:lastModifiedBy>Ayana Khan</cp:lastModifiedBy>
  <dcterms:created xsi:type="dcterms:W3CDTF">2025-07-12T14:24:19Z</dcterms:created>
  <dcterms:modified xsi:type="dcterms:W3CDTF">2025-07-25T14:09:32Z</dcterms:modified>
</cp:coreProperties>
</file>